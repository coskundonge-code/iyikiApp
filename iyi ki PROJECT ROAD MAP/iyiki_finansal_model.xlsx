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Varsayimlar" sheetId="1" state="visible" r:id="rId3"/>
    <sheet name="Aylik Projeksiyon (Muhafazakar)" sheetId="2" state="visible" r:id="rId4"/>
    <sheet name="Aylik Projeksiyon (Baz)" sheetId="3" state="visible" r:id="rId5"/>
    <sheet name="Aylik Projeksiyon (Iyimser)" sheetId="4" state="visible" r:id="rId6"/>
    <sheet name="Gider ve Karlilik" sheetId="5" state="visible" r:id="rId7"/>
    <sheet name="Yonetici Ozeti" sheetId="6" state="visible" r:id="rId8"/>
    <sheet name="Degerlem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<sst xmlns="http://schemas.openxmlformats.org/spreadsheetml/2006/main" count="582" uniqueCount="402">
  <si>
    <t xml:space="preserve">iyi ki — Finansal Projeksiyon Modeli</t>
  </si>
  <si>
    <t xml:space="preserve">CFO Calismasi | Nisan 2026</t>
  </si>
  <si>
    <t xml:space="preserve">PAZAR VARSAYIMLARI</t>
  </si>
  <si>
    <t xml:space="preserve">Turkiye akilli telefon kullanicisi (milyon)</t>
  </si>
  <si>
    <t xml:space="preserve">Kaynak: TUIK/BTK 2025 verileri</t>
  </si>
  <si>
    <t xml:space="preserve">Hedef erisilebilir pazar (TAM) — 18-55 yas</t>
  </si>
  <si>
    <t xml:space="preserve">Milyon kisi</t>
  </si>
  <si>
    <t xml:space="preserve">Ilk yil penetrasyon hedefi</t>
  </si>
  <si>
    <t xml:space="preserve">Ilk yil sonu hedef indirme</t>
  </si>
  <si>
    <t xml:space="preserve">KULLANICI BUYUME VARSAYIMLARI</t>
  </si>
  <si>
    <t xml:space="preserve">Metrik</t>
  </si>
  <si>
    <t xml:space="preserve">Muhafazakar</t>
  </si>
  <si>
    <t xml:space="preserve">Baz</t>
  </si>
  <si>
    <t xml:space="preserve">Iyimser</t>
  </si>
  <si>
    <t xml:space="preserve">Aciklama</t>
  </si>
  <si>
    <t xml:space="preserve">Lansman ayi indirme (adet)</t>
  </si>
  <si>
    <t xml:space="preserve">PR + organik, ucretli reklam yok</t>
  </si>
  <si>
    <t xml:space="preserve">Aylik organik buyume orani</t>
  </si>
  <si>
    <t xml:space="preserve">MoM buyume (PR, ASO, WOM)</t>
  </si>
  <si>
    <t xml:space="preserve">Viral katsayi (hediye &gt; indirme)</t>
  </si>
  <si>
    <t xml:space="preserve">Hediye alan non-user'in indirme orani</t>
  </si>
  <si>
    <t xml:space="preserve">MAU / Toplam Indirme orani</t>
  </si>
  <si>
    <t xml:space="preserve">Aktif kullanici orani</t>
  </si>
  <si>
    <t xml:space="preserve">DAU / MAU orani</t>
  </si>
  <si>
    <t xml:space="preserve">Gunluk aktif oran</t>
  </si>
  <si>
    <t xml:space="preserve">DAU icinde hediye gonderen orani</t>
  </si>
  <si>
    <t xml:space="preserve">Gunluk jest orani</t>
  </si>
  <si>
    <t xml:space="preserve">Ortalama gun/ay (hesaplama)</t>
  </si>
  <si>
    <t xml:space="preserve">Sabit</t>
  </si>
  <si>
    <t xml:space="preserve">Redemption orani (72 saat)</t>
  </si>
  <si>
    <t xml:space="preserve">Kullanilan hediye orani</t>
  </si>
  <si>
    <t xml:space="preserve">Churn orani (aylik)</t>
  </si>
  <si>
    <t xml:space="preserve">Aylik kullanici kaybi</t>
  </si>
  <si>
    <t xml:space="preserve">URUN MIX ve FIYATLANDIRMA</t>
  </si>
  <si>
    <t xml:space="preserve">Urun Kategorisi</t>
  </si>
  <si>
    <t xml:space="preserve">Ort. TL Degeri</t>
  </si>
  <si>
    <t xml:space="preserve">Mix Orani</t>
  </si>
  <si>
    <t xml:space="preserve">Agirlikli Deger</t>
  </si>
  <si>
    <t xml:space="preserve">Ornek Markalar</t>
  </si>
  <si>
    <t xml:space="preserve">Kahve</t>
  </si>
  <si>
    <t xml:space="preserve">Starbucks, Kahve Dunyasi</t>
  </si>
  <si>
    <t xml:space="preserve">Cikolata / Atistirmalik</t>
  </si>
  <si>
    <t xml:space="preserve">Tadelle, Eti, Ulker</t>
  </si>
  <si>
    <t xml:space="preserve">Kitap / Kirtasiye</t>
  </si>
  <si>
    <t xml:space="preserve">D&amp;R, Idefix</t>
  </si>
  <si>
    <t xml:space="preserve">— (Cicek kategorisi cikarildi: kargo/teslimat modeline uymuyor)</t>
  </si>
  <si>
    <t xml:space="preserve">Yemek / Restoran</t>
  </si>
  <si>
    <t xml:space="preserve">Yemeksepeti, yerel</t>
  </si>
  <si>
    <t xml:space="preserve">Dijital Abonelik</t>
  </si>
  <si>
    <t xml:space="preserve">Netflix, Spotify, Fizy</t>
  </si>
  <si>
    <t xml:space="preserve">AGIRLIKLI ORTALAMA URUN DEGERI</t>
  </si>
  <si>
    <t xml:space="preserve">GELIR MODELI VARSAYIMLARI</t>
  </si>
  <si>
    <t xml:space="preserve">Gelir Kalemi</t>
  </si>
  <si>
    <t xml:space="preserve">Oran / Tutar</t>
  </si>
  <si>
    <t xml:space="preserve">Sponsor Komisyonu (kademeli)</t>
  </si>
  <si>
    <t xml:space="preserve">%4 — %7</t>
  </si>
  <si>
    <t xml:space="preserve">Hacim arttikca azalan: Baslangic %7, Stratejik %4</t>
  </si>
  <si>
    <t xml:space="preserve">Partner Listeleme Bedeli (aylik)</t>
  </si>
  <si>
    <t xml:space="preserve">25.000 TL</t>
  </si>
  <si>
    <t xml:space="preserve">Aylik sabit platform ucreti — partnerin havuzda yer almasi</t>
  </si>
  <si>
    <t xml:space="preserve">Partner Jest Adedi Komisyonu</t>
  </si>
  <si>
    <t xml:space="preserve">2,5 — 6,0 TL/jest</t>
  </si>
  <si>
    <t xml:space="preserve">Hacim arttikca artan: Baslangic 2,5 TL, Stratejik 6,0 TL</t>
  </si>
  <si>
    <t xml:space="preserve">Partner Tutar Komisyonu (ayri)</t>
  </si>
  <si>
    <t xml:space="preserve">%9 — %16</t>
  </si>
  <si>
    <t xml:space="preserve">Hacim arttikca artan: Baslangic %9, Stratejik %16</t>
  </si>
  <si>
    <t xml:space="preserve">Partner Ek Hizmetler (opsiyonel)</t>
  </si>
  <si>
    <t xml:space="preserve">20.000 TL/ay</t>
  </si>
  <si>
    <t xml:space="preserve">One cikarma + veri paketi (opsiyonel, ort.)</t>
  </si>
  <si>
    <t xml:space="preserve">Sponsor Opsiyonel Hizmetler</t>
  </si>
  <si>
    <t xml:space="preserve">30.000 TL/ay</t>
  </si>
  <si>
    <t xml:space="preserve">Gorunurluk + veri raporu (opsiyonel, ort.)</t>
  </si>
  <si>
    <t xml:space="preserve">Premium Bireysel Abonelik (aylik)</t>
  </si>
  <si>
    <t xml:space="preserve">29 TL</t>
  </si>
  <si>
    <t xml:space="preserve">Gunluk 3 hediye hakki (ucretsiz: 1)</t>
  </si>
  <si>
    <t xml:space="preserve">Kurumsal Abonelik (aylik/sirket)</t>
  </si>
  <si>
    <t xml:space="preserve">2.500 TL</t>
  </si>
  <si>
    <t xml:space="preserve">Sirket ici hediyeIesme modulu</t>
  </si>
  <si>
    <t xml:space="preserve">Bireysel Sponsor Komisyonu</t>
  </si>
  <si>
    <t xml:space="preserve">%5</t>
  </si>
  <si>
    <t xml:space="preserve">Bireysel sponsordan sabit oran</t>
  </si>
  <si>
    <t xml:space="preserve">HEDEF GELIR DAGILIMI</t>
  </si>
  <si>
    <t xml:space="preserve">Sponsor tarafli</t>
  </si>
  <si>
    <t xml:space="preserve">~%40</t>
  </si>
  <si>
    <t xml:space="preserve">Comertligi gosteren taraf daha az oder</t>
  </si>
  <si>
    <t xml:space="preserve">Partner tarafli</t>
  </si>
  <si>
    <t xml:space="preserve">~%60</t>
  </si>
  <si>
    <t xml:space="preserve">Ticari fayda alan taraf daha cok oder</t>
  </si>
  <si>
    <t xml:space="preserve">Diger (bireysel, kurumsal, premium)</t>
  </si>
  <si>
    <t xml:space="preserve">~%4</t>
  </si>
  <si>
    <t xml:space="preserve">Ek gelir katmanlari</t>
  </si>
  <si>
    <t xml:space="preserve">Lansman ayi sponsor sayisi</t>
  </si>
  <si>
    <t xml:space="preserve">Baslangic sponsor adedi</t>
  </si>
  <si>
    <t xml:space="preserve">Ay 6 sponsor sayisi</t>
  </si>
  <si>
    <t xml:space="preserve">6. ay sonunda toplam sponsor</t>
  </si>
  <si>
    <t xml:space="preserve">Ay 12 sponsor sayisi</t>
  </si>
  <si>
    <t xml:space="preserve">Yil sonu toplam sponsor</t>
  </si>
  <si>
    <t xml:space="preserve">Ort. sponsor paket dagilimi (Temel %)</t>
  </si>
  <si>
    <t xml:space="preserve">Temel paket orani</t>
  </si>
  <si>
    <t xml:space="preserve">Ort. sponsor paket dagilimi (Premium %)</t>
  </si>
  <si>
    <t xml:space="preserve">Premium paket orani</t>
  </si>
  <si>
    <t xml:space="preserve">Ort. sponsor paket dagilimi (Stratejik %)</t>
  </si>
  <si>
    <t xml:space="preserve">Stratejik paket orani</t>
  </si>
  <si>
    <t xml:space="preserve">Premium bireysel abone orani (MAU icinde)</t>
  </si>
  <si>
    <t xml:space="preserve">Aylik premium orani</t>
  </si>
  <si>
    <t xml:space="preserve">Kurumsal musteri sayisi (ay 12)</t>
  </si>
  <si>
    <t xml:space="preserve">Yil sonu kurumsal musteri</t>
  </si>
  <si>
    <t xml:space="preserve">Bireysel sponsor sayisi (ay 12)</t>
  </si>
  <si>
    <t xml:space="preserve">Yil sonu bireysel sponsor</t>
  </si>
  <si>
    <t xml:space="preserve">Ort. bireysel sponsor aylik jest</t>
  </si>
  <si>
    <t xml:space="preserve">Mikro-Mini paket ortalamasi</t>
  </si>
  <si>
    <t xml:space="preserve">KADEMELI SPONSOR KOMISYON YAPISI</t>
  </si>
  <si>
    <t xml:space="preserve">Kademe</t>
  </si>
  <si>
    <t xml:space="preserve">Aylik Toplam (TL)</t>
  </si>
  <si>
    <t xml:space="preserve">Komisyon Orani</t>
  </si>
  <si>
    <t xml:space="preserve">Ort. Jest Adedi</t>
  </si>
  <si>
    <t xml:space="preserve">Kademe 1: Baslangic</t>
  </si>
  <si>
    <t xml:space="preserve">0 — 250.000 TL</t>
  </si>
  <si>
    <t xml:space="preserve">~2.000 jest</t>
  </si>
  <si>
    <t xml:space="preserve">Yeni sponsorlar icin giris</t>
  </si>
  <si>
    <t xml:space="preserve">Kademe 2: Buyume</t>
  </si>
  <si>
    <t xml:space="preserve">250.001 — 1.000.000 TL</t>
  </si>
  <si>
    <t xml:space="preserve">~5.000 jest</t>
  </si>
  <si>
    <t xml:space="preserve">Hacim artisinda ilk indirim</t>
  </si>
  <si>
    <t xml:space="preserve">Kademe 3: Olcek</t>
  </si>
  <si>
    <t xml:space="preserve">1.000.001 — 3.000.000 TL</t>
  </si>
  <si>
    <t xml:space="preserve">~15.000 jest</t>
  </si>
  <si>
    <t xml:space="preserve">Ciddi hacim, ciddi etki</t>
  </si>
  <si>
    <t xml:space="preserve">Kademe 4: Stratejik</t>
  </si>
  <si>
    <t xml:space="preserve">3.000.001 TL +</t>
  </si>
  <si>
    <t xml:space="preserve">~30.000+ jest</t>
  </si>
  <si>
    <t xml:space="preserve">En buyuk sponsorlar, en dusuk oran</t>
  </si>
  <si>
    <t xml:space="preserve">KADEMELI YAPIYI MANTIGI</t>
  </si>
  <si>
    <t xml:space="preserve">Hacim arttikca birim maliyet duser. Sponsor daha buyuk taahhutlere yonlendirilir.</t>
  </si>
  <si>
    <t xml:space="preserve">Ornek: 100 TL x 10.000 urun = 1M TL toplam → Kademe 3 (%5 sponsor) → 50K TL komisyon</t>
  </si>
  <si>
    <t xml:space="preserve">Ornek: 1.000 TL x 1.500 urun = 1.5M TL toplam → Kademe 3 (%5 sponsor + %14 partner) → 285K TL</t>
  </si>
  <si>
    <t xml:space="preserve">Kademe butun ay icindeki toplam sponsorluk tutarina gore belirlenir, urun bazinda degil.</t>
  </si>
  <si>
    <t xml:space="preserve">PARTNER GELIR YAPISI (Hacim Arttikca Artan)</t>
  </si>
  <si>
    <t xml:space="preserve">Aylik Jest Adedi</t>
  </si>
  <si>
    <t xml:space="preserve">Birim Ucret (TL/jest)</t>
  </si>
  <si>
    <t xml:space="preserve">Kademe 1</t>
  </si>
  <si>
    <t xml:space="preserve">0 — 2.000 jest/ay</t>
  </si>
  <si>
    <t xml:space="preserve">~4.000 jest</t>
  </si>
  <si>
    <t xml:space="preserve">Giris seviyesi</t>
  </si>
  <si>
    <t xml:space="preserve">Kademe 2</t>
  </si>
  <si>
    <t xml:space="preserve">2.001 — 5.000 jest/ay</t>
  </si>
  <si>
    <t xml:space="preserve">~12.000 jest</t>
  </si>
  <si>
    <t xml:space="preserve">Artan trafik, artan birim ucret</t>
  </si>
  <si>
    <t xml:space="preserve">Kademe 3</t>
  </si>
  <si>
    <t xml:space="preserve">5.001 — 15.000 jest/ay</t>
  </si>
  <si>
    <t xml:space="preserve">~20.000+ jest</t>
  </si>
  <si>
    <t xml:space="preserve">Ciddi musteri akisi</t>
  </si>
  <si>
    <t xml:space="preserve">Kademe 4</t>
  </si>
  <si>
    <t xml:space="preserve">15.001+ jest/ay</t>
  </si>
  <si>
    <t xml:space="preserve">En yuksek trafik, en yuksek birim</t>
  </si>
  <si>
    <t xml:space="preserve">Partner Tutar Komisyonu (ayri olarak)</t>
  </si>
  <si>
    <t xml:space="preserve">Aylik Toplam Tutar</t>
  </si>
  <si>
    <t xml:space="preserve">Giris orani</t>
  </si>
  <si>
    <t xml:space="preserve">Artan hacim, artan oran</t>
  </si>
  <si>
    <t xml:space="preserve">Ciddi hacim</t>
  </si>
  <si>
    <t xml:space="preserve">En yuksek hacim</t>
  </si>
  <si>
    <t xml:space="preserve">PARTNER MANTIGI</t>
  </si>
  <si>
    <t xml:space="preserve">Partnere daha cok musteri gonderiyorsan, ondan aldigin da artmali. Ama nazik artmali.</t>
  </si>
  <si>
    <t xml:space="preserve">Jest adedi: Her redeem edilen hediye icin sabit TL. Hacim arttikca birim ucret yukselir.</t>
  </si>
  <si>
    <t xml:space="preserve">Tutar: Toplam deger uzerinden %. Hacim arttikca oran yukselir. Iki metrik AYRI AYRI isler.</t>
  </si>
  <si>
    <t xml:space="preserve">Ornek: 5.000 jest x ort. 117 TL = 550K TL → Jest ucreti: 2.0 TL x 5.000 = 10.000 TL + Tutar: %3.5 x 550K = 19.250 TL = 29.250 TL</t>
  </si>
  <si>
    <t xml:space="preserve">SPONSOR vs PARTNER — AYNI BAREMLER, ZIT YONLER</t>
  </si>
  <si>
    <t xml:space="preserve">Aylik Toplam</t>
  </si>
  <si>
    <t xml:space="preserve">Sponsor (%)</t>
  </si>
  <si>
    <t xml:space="preserve">Partner Tutar (%)</t>
  </si>
  <si>
    <t xml:space="preserve">Toplam iyi ki Payi</t>
  </si>
  <si>
    <t xml:space="preserve">Baslangic</t>
  </si>
  <si>
    <t xml:space="preserve">0 — 250K TL</t>
  </si>
  <si>
    <t xml:space="preserve">%7 ↘</t>
  </si>
  <si>
    <t xml:space="preserve">%9 ↗</t>
  </si>
  <si>
    <t xml:space="preserve">%16  Platform toplam komisyonu</t>
  </si>
  <si>
    <t xml:space="preserve">Buyume</t>
  </si>
  <si>
    <t xml:space="preserve">250K — 1M TL</t>
  </si>
  <si>
    <t xml:space="preserve">%6 ↘</t>
  </si>
  <si>
    <t xml:space="preserve">%12 ↗</t>
  </si>
  <si>
    <t xml:space="preserve">%18  Hacim arttikca yukselir</t>
  </si>
  <si>
    <t xml:space="preserve">Olcek</t>
  </si>
  <si>
    <t xml:space="preserve">1M — 3M TL</t>
  </si>
  <si>
    <t xml:space="preserve">%5 ↘</t>
  </si>
  <si>
    <t xml:space="preserve">%14 ↗</t>
  </si>
  <si>
    <t xml:space="preserve">%19  + jest birim ucreti ayri</t>
  </si>
  <si>
    <t xml:space="preserve">Stratejik</t>
  </si>
  <si>
    <t xml:space="preserve">3M+ TL</t>
  </si>
  <si>
    <t xml:space="preserve">%4 ↘</t>
  </si>
  <si>
    <t xml:space="preserve">%16 ↗</t>
  </si>
  <si>
    <t xml:space="preserve">%20  En yuksek platform payi</t>
  </si>
  <si>
    <t xml:space="preserve">Sponsor: hacim arttikca AZALIR (%7 → %4). Comertlik odullendirilir.</t>
  </si>
  <si>
    <t xml:space="preserve">Partner: hacim arttikca ARTAR (%9 → %16). Ticari fayda karsiligi odenir.</t>
  </si>
  <si>
    <t xml:space="preserve">Platform toplam: %16 ile baslar, %20'ye kadar cikar. + Jest birim ucreti (2,5-6,0 TL) ayridir.</t>
  </si>
  <si>
    <t xml:space="preserve">iyi ki — Aylik Projeksiyon (MUHAFAZAKAR SENARYO)</t>
  </si>
  <si>
    <t xml:space="preserve">Tum parametreler Varsayimlar sayfasi B sutunundan beslenir</t>
  </si>
  <si>
    <t xml:space="preserve">Ay 1</t>
  </si>
  <si>
    <t xml:space="preserve">Ay 2</t>
  </si>
  <si>
    <t xml:space="preserve">Ay 3</t>
  </si>
  <si>
    <t xml:space="preserve">Ay 4</t>
  </si>
  <si>
    <t xml:space="preserve">Ay 5</t>
  </si>
  <si>
    <t xml:space="preserve">Ay 6</t>
  </si>
  <si>
    <t xml:space="preserve">Ay 7</t>
  </si>
  <si>
    <t xml:space="preserve">Ay 8</t>
  </si>
  <si>
    <t xml:space="preserve">Ay 9</t>
  </si>
  <si>
    <t xml:space="preserve">Ay 10</t>
  </si>
  <si>
    <t xml:space="preserve">Ay 11</t>
  </si>
  <si>
    <t xml:space="preserve">Ay 12</t>
  </si>
  <si>
    <t xml:space="preserve">YIL</t>
  </si>
  <si>
    <t xml:space="preserve">KULLANICI METRIKLERI</t>
  </si>
  <si>
    <t xml:space="preserve">Yeni Indirmeler (organik + viral)</t>
  </si>
  <si>
    <t xml:space="preserve">Kumulatif Toplam Indirme</t>
  </si>
  <si>
    <t xml:space="preserve">MAU (Aylik Aktif Kullanici)</t>
  </si>
  <si>
    <t xml:space="preserve">DAU (Gunluk Aktif Kullanici)</t>
  </si>
  <si>
    <t xml:space="preserve">JEST METRIKLERI</t>
  </si>
  <si>
    <t xml:space="preserve">Gunluk Gonderilen Jest (ort.)</t>
  </si>
  <si>
    <t xml:space="preserve">Aylik Toplam Gonderilen Jest</t>
  </si>
  <si>
    <t xml:space="preserve">Redeem Edilen Jest (72 saat)</t>
  </si>
  <si>
    <t xml:space="preserve">Havuza Geri Donen Jest</t>
  </si>
  <si>
    <t xml:space="preserve">Ort. Urun Degeri (TL)</t>
  </si>
  <si>
    <t xml:space="preserve">SPONSOR &gt; URETICI ODEMELERI (TL)</t>
  </si>
  <si>
    <t xml:space="preserve">Sponsor Toplam Odeme (ureticiye)</t>
  </si>
  <si>
    <t xml:space="preserve">PLATFORM GELIRLERI (TL)</t>
  </si>
  <si>
    <t xml:space="preserve">Aktif Sponsor / Partner Sayisi</t>
  </si>
  <si>
    <t xml:space="preserve">2 / 3</t>
  </si>
  <si>
    <t xml:space="preserve">3 / 4</t>
  </si>
  <si>
    <t xml:space="preserve">4 / 5</t>
  </si>
  <si>
    <t xml:space="preserve">5 / 6</t>
  </si>
  <si>
    <t xml:space="preserve">6 / 7</t>
  </si>
  <si>
    <t xml:space="preserve">7 / 8</t>
  </si>
  <si>
    <t xml:space="preserve">8 / 9</t>
  </si>
  <si>
    <t xml:space="preserve">9 / 10</t>
  </si>
  <si>
    <t xml:space="preserve">10 / 12</t>
  </si>
  <si>
    <t xml:space="preserve">1. Sponsor Komisyonu (kademeli %4-7)</t>
  </si>
  <si>
    <t xml:space="preserve">2. Partner Listeleme Bedeli</t>
  </si>
  <si>
    <t xml:space="preserve">3. Partner Jest + Tutar Komisyonu</t>
  </si>
  <si>
    <t xml:space="preserve">4. Partner Ek Hizmetler (one cikarma + veri)</t>
  </si>
  <si>
    <t xml:space="preserve">5. Sponsor Opsiyonel (gorunurluk + veri)</t>
  </si>
  <si>
    <t xml:space="preserve">6. Premium Bireysel Abonelik</t>
  </si>
  <si>
    <t xml:space="preserve">7. Kurumsal Abonelik</t>
  </si>
  <si>
    <t xml:space="preserve">8. Bireysel Sponsor Geliri</t>
  </si>
  <si>
    <t xml:space="preserve">TOPLAM PLATFORM GELIRI (TL)</t>
  </si>
  <si>
    <t xml:space="preserve">TEMEL ORANLAR</t>
  </si>
  <si>
    <t xml:space="preserve">Efektif Sponsor Komisyon Orani</t>
  </si>
  <si>
    <t xml:space="preserve">Partner Jest Birim Ucreti (TL)</t>
  </si>
  <si>
    <t xml:space="preserve">Partner Tutar Komisyon Orani</t>
  </si>
  <si>
    <t xml:space="preserve">iyi ki — Aylik Projeksiyon (BAZ SENARYO)</t>
  </si>
  <si>
    <t xml:space="preserve">Tum parametreler Varsayimlar sayfasi C sutunundan beslenir</t>
  </si>
  <si>
    <t xml:space="preserve">iyi ki — Aylik Projeksiyon (IYIMSER SENARYO)</t>
  </si>
  <si>
    <t xml:space="preserve">Tum parametreler Varsayimlar sayfasi D sutunundan beslenir</t>
  </si>
  <si>
    <t xml:space="preserve">iyi ki — Gider Yapisi ve Karlilik Analizi</t>
  </si>
  <si>
    <t xml:space="preserve">Baz Senaryo | Aylik Kirilim | TL</t>
  </si>
  <si>
    <t xml:space="preserve">PERSONEL GIDERLERI</t>
  </si>
  <si>
    <t xml:space="preserve">  CEO / Kurucu (brut 400,000 TL)</t>
  </si>
  <si>
    <t xml:space="preserve">  CTO / Lead Developer (brut 300,000 TL)</t>
  </si>
  <si>
    <t xml:space="preserve">  Backend Developer (brut 229,500 TL)</t>
  </si>
  <si>
    <t xml:space="preserve">  Frontend / Mobile Developer (brut 216,000 TL)</t>
  </si>
  <si>
    <t xml:space="preserve">  UI/UX Designer (brut 175,500 TL)</t>
  </si>
  <si>
    <t xml:space="preserve">  Product Manager (brut 243,000 TL)</t>
  </si>
  <si>
    <t xml:space="preserve">  Pazarlama Muduuru (brut 216,000 TL)</t>
  </si>
  <si>
    <t xml:space="preserve">  Sosyal Medya / Icerik (brut 121,500 TL)</t>
  </si>
  <si>
    <t xml:space="preserve">  Is Gelistirme / Satis (brut 189,000 TL)</t>
  </si>
  <si>
    <t xml:space="preserve">  Operasyon / Musteri Destek (brut 108,000 TL)</t>
  </si>
  <si>
    <t xml:space="preserve">  Finans / Muhasebe (brut 148,500 TL)</t>
  </si>
  <si>
    <t xml:space="preserve">  Toplam Kisi Sayisi</t>
  </si>
  <si>
    <t xml:space="preserve">TOPLAM PERSONEL GIDERI</t>
  </si>
  <si>
    <t xml:space="preserve">TEKNOLOJI ALTYAPI</t>
  </si>
  <si>
    <t xml:space="preserve">  Cloud / Sunucu (AWS/GCP)</t>
  </si>
  <si>
    <t xml:space="preserve">  CDN / Bandwidth</t>
  </si>
  <si>
    <t xml:space="preserve">  Veritabani (managed)</t>
  </si>
  <si>
    <t xml:space="preserve">  SMS / Push Bildirim</t>
  </si>
  <si>
    <t xml:space="preserve">  Guvenlik / SSL / WAF</t>
  </si>
  <si>
    <t xml:space="preserve">  Monitoring / Logging</t>
  </si>
  <si>
    <t xml:space="preserve">  API Entegrasyonlari</t>
  </si>
  <si>
    <t xml:space="preserve">  AI / ML Servisleri</t>
  </si>
  <si>
    <t xml:space="preserve">TOPLAM TEKNOLOJI GIDERI</t>
  </si>
  <si>
    <t xml:space="preserve">PAZARLAMA &amp; ILETISIM</t>
  </si>
  <si>
    <t xml:space="preserve">  Dijital Pazarlama (ASO, performans)</t>
  </si>
  <si>
    <t xml:space="preserve">  PR Ajansi / Basin Iliskileri</t>
  </si>
  <si>
    <t xml:space="preserve">  Icerik Uretimi (gorsel, video)</t>
  </si>
  <si>
    <t xml:space="preserve">  Influencer / KOL</t>
  </si>
  <si>
    <t xml:space="preserve">  Etkinlik / Lansman</t>
  </si>
  <si>
    <t xml:space="preserve">TOPLAM PAZARLAMA GIDERI</t>
  </si>
  <si>
    <t xml:space="preserve">GENEL YONETIM ve OPERASYON</t>
  </si>
  <si>
    <t xml:space="preserve">  Ofis Kirasi + Aidat</t>
  </si>
  <si>
    <t xml:space="preserve">  Hukuk / Danismanlik</t>
  </si>
  <si>
    <t xml:space="preserve">  Muhasebe / Denetim</t>
  </si>
  <si>
    <t xml:space="preserve">  KVKK / Veri Koruma</t>
  </si>
  <si>
    <t xml:space="preserve">  Sigorta</t>
  </si>
  <si>
    <t xml:space="preserve">  Seyahat / Temsil</t>
  </si>
  <si>
    <t xml:space="preserve">  Diger Genel Giderler</t>
  </si>
  <si>
    <t xml:space="preserve">TOPLAM GENEL YONETIM GIDERI</t>
  </si>
  <si>
    <t xml:space="preserve">TOPLAM AYLIK GIDER</t>
  </si>
  <si>
    <t xml:space="preserve">TOPLAM AYLIK GELIR</t>
  </si>
  <si>
    <t xml:space="preserve">EBITDA (Gelir - Gider)</t>
  </si>
  <si>
    <t xml:space="preserve">EBITDA Marji</t>
  </si>
  <si>
    <t xml:space="preserve">Kumulatif Nakit Pozisyonu</t>
  </si>
  <si>
    <t xml:space="preserve">YILLIK GIDER DAGILIMI</t>
  </si>
  <si>
    <t xml:space="preserve">Personel</t>
  </si>
  <si>
    <t xml:space="preserve">Teknoloji Altyapi</t>
  </si>
  <si>
    <t xml:space="preserve">Pazarlama &amp; Iletisim</t>
  </si>
  <si>
    <t xml:space="preserve">Genel Yonetim</t>
  </si>
  <si>
    <t xml:space="preserve">TOPLAM</t>
  </si>
  <si>
    <t xml:space="preserve">iyi ki — CFO Yonetici Ozeti</t>
  </si>
  <si>
    <t xml:space="preserve">Baz Senaryo Projeksiyon Ozeti | Muhafazakar ve Iyimser icin ayri sayfalar mevcuttur</t>
  </si>
  <si>
    <t xml:space="preserve">H1 (Ay 1-6)</t>
  </si>
  <si>
    <t xml:space="preserve">Yil (12 Ay)</t>
  </si>
  <si>
    <t xml:space="preserve">Toplam Indirme (adet)</t>
  </si>
  <si>
    <t xml:space="preserve">MAU (ay sonu)</t>
  </si>
  <si>
    <t xml:space="preserve">DAU (ay sonu)</t>
  </si>
  <si>
    <t xml:space="preserve">Toplam Gonderilen Jest</t>
  </si>
  <si>
    <t xml:space="preserve">Redeem Edilen Jest</t>
  </si>
  <si>
    <t xml:space="preserve">Redemption Orani</t>
  </si>
  <si>
    <t xml:space="preserve">Sponsor &gt; Uretici Odemesi (TL)</t>
  </si>
  <si>
    <t xml:space="preserve">Ort. Hediye Degeri (TL)</t>
  </si>
  <si>
    <t xml:space="preserve">PLATFORM TOPLAM GELIR (TL)</t>
  </si>
  <si>
    <t xml:space="preserve">  1. Sponsor Komisyonu (kademeli %4-7)</t>
  </si>
  <si>
    <t xml:space="preserve">  2. Partner Listeleme Bedeli</t>
  </si>
  <si>
    <t xml:space="preserve">  3. Partner Jest + Tutar Komisyonu</t>
  </si>
  <si>
    <t xml:space="preserve">  4. Partner Ek Hizmetler</t>
  </si>
  <si>
    <t xml:space="preserve">  5. Sponsor Opsiyonel</t>
  </si>
  <si>
    <t xml:space="preserve">  6. Premium Bireysel</t>
  </si>
  <si>
    <t xml:space="preserve">  7. Kurumsal Abonelik</t>
  </si>
  <si>
    <t xml:space="preserve">  8. Bireysel Sponsor</t>
  </si>
  <si>
    <t xml:space="preserve">ONEMLI NOTLAR</t>
  </si>
  <si>
    <t xml:space="preserve">1. Bu projeksiyon BAZ senaryo uzerine kuruludur. Muhafazakar ve iyimser sayfalar da mevcuttur.</t>
  </si>
  <si>
    <t xml:space="preserve">2. Tum rakamlar TL cinsindendir.</t>
  </si>
  <si>
    <t xml:space="preserve">3. Sponsor odemeleri dogrudan ureticiye yapilir, platformdan gecmez.</t>
  </si>
  <si>
    <t xml:space="preserve">4. Kullanici hicbir ucret odemez. Premium abonelik opsiyoneldir.</t>
  </si>
  <si>
    <t xml:space="preserve">5. Havuza geri donen jestler tekrar kullanilabilir gelir degil, kullanici deneyimidir.</t>
  </si>
  <si>
    <t xml:space="preserve">6. Fiyatlar 2026 Turkiye piyasa ortalamalarini yansitir.</t>
  </si>
  <si>
    <t xml:space="preserve">7. Varsayimlar sayfasindaki parametreler degistirilerek farkli senaryolar olusturulabilir.</t>
  </si>
  <si>
    <t xml:space="preserve">iyi ki — Sirket Degerleme Calismasi</t>
  </si>
  <si>
    <t xml:space="preserve">CFO Analizi | Dort Yontem, Uc Senaryo | Nisan 2026</t>
  </si>
  <si>
    <t xml:space="preserve">TEMEL FINANSAL VERILER</t>
  </si>
  <si>
    <t xml:space="preserve">Platform Geliri (TL)</t>
  </si>
  <si>
    <t xml:space="preserve">GMV / Sponsor Odemeleri (TL)</t>
  </si>
  <si>
    <t xml:space="preserve">Toplam Indirme (kumulatif)</t>
  </si>
  <si>
    <t xml:space="preserve">MAU (yil sonu)</t>
  </si>
  <si>
    <t xml:space="preserve">Redeem Edilen Jest (yillik)</t>
  </si>
  <si>
    <t xml:space="preserve">Aktif Sponsor Sayisi</t>
  </si>
  <si>
    <t xml:space="preserve">EBITDA (Yillik, TL)</t>
  </si>
  <si>
    <t xml:space="preserve">YONTEM 1: GELIR CARPANI (Revenue Multiple)</t>
  </si>
  <si>
    <t xml:space="preserve">Benchmark: Erken asama marketplace / platform sirketleri</t>
  </si>
  <si>
    <t xml:space="preserve">Parametre</t>
  </si>
  <si>
    <t xml:space="preserve">Yil 1 Senaryo Geliri (TL)</t>
  </si>
  <si>
    <t xml:space="preserve">Ilgili projeksiyon sayfalarindan</t>
  </si>
  <si>
    <t xml:space="preserve">Gelir Carpani</t>
  </si>
  <si>
    <t xml:space="preserve">Erken asama pazar yeri carpanlari</t>
  </si>
  <si>
    <t xml:space="preserve">Pre-Money Degerleme (TL)</t>
  </si>
  <si>
    <t xml:space="preserve">YONTEM 2: GIRISIM SERMAYESI (VC Method)</t>
  </si>
  <si>
    <t xml:space="preserve">5 yillik cikis (exit) senaryosuna dayali geriye donuk degerleme</t>
  </si>
  <si>
    <t xml:space="preserve">Y1 Senaryo Geliri (TL)</t>
  </si>
  <si>
    <t xml:space="preserve">5 Yillik Buyume Carpani</t>
  </si>
  <si>
    <t xml:space="preserve">Y1'den Y5'e gelir buyume katsayisi</t>
  </si>
  <si>
    <t xml:space="preserve">Yil 5 Tahmini Gelir (TL)</t>
  </si>
  <si>
    <t xml:space="preserve">Y1 Gelir x Buyume Carpani</t>
  </si>
  <si>
    <t xml:space="preserve">Cikis Carpani (Exit Multiple)</t>
  </si>
  <si>
    <t xml:space="preserve">Y5 satis/halka arz carpani</t>
  </si>
  <si>
    <t xml:space="preserve">Tahmini Cikis Degeri (TL)</t>
  </si>
  <si>
    <t xml:space="preserve">Hedef VC Getirisi</t>
  </si>
  <si>
    <t xml:space="preserve">Seed asamasi — tum senaryolarda ayni</t>
  </si>
  <si>
    <t xml:space="preserve">Ima Edilen Pre-Money (TL)</t>
  </si>
  <si>
    <t xml:space="preserve">Cikis Degeri / Hedef Getiri</t>
  </si>
  <si>
    <t xml:space="preserve">YONTEM 3: KULLANICI BAZLI DEGERLEME</t>
  </si>
  <si>
    <t xml:space="preserve">MAU basina deger — modelden hesaplanan</t>
  </si>
  <si>
    <t xml:space="preserve">Yil 1 Sonu MAU</t>
  </si>
  <si>
    <t xml:space="preserve">Ay 12 MAU — projeksiyon sayfalarindan</t>
  </si>
  <si>
    <t xml:space="preserve">MAU Basina Deger (TL)</t>
  </si>
  <si>
    <t xml:space="preserve">(Sponsor Odeme + Platform Geliri) / MAU Ay12</t>
  </si>
  <si>
    <t xml:space="preserve">YONTEM 4: EBITDA BAZLI DEGERLEME</t>
  </si>
  <si>
    <t xml:space="preserve">EV/EBITDA carpani — operasyonel karliliga dayali</t>
  </si>
  <si>
    <t xml:space="preserve">Yillik EBITDA (TL)</t>
  </si>
  <si>
    <t xml:space="preserve">Gelir - Gider (yillik)</t>
  </si>
  <si>
    <t xml:space="preserve">EV/EBITDA Carpani</t>
  </si>
  <si>
    <t xml:space="preserve">Erken asama: 10-20x (EBITDA&gt;0 ise)</t>
  </si>
  <si>
    <t xml:space="preserve">EBITDA&lt;0 ise uygulanmaz (0)</t>
  </si>
  <si>
    <t xml:space="preserve">DEGERLEME TRIANGULASYONU</t>
  </si>
  <si>
    <t xml:space="preserve">Dort yontemin agirlikli ortalamasi</t>
  </si>
  <si>
    <t xml:space="preserve">Yontem</t>
  </si>
  <si>
    <t xml:space="preserve">Agirlik</t>
  </si>
  <si>
    <t xml:space="preserve">1. Gelir Carpani</t>
  </si>
  <si>
    <t xml:space="preserve">2. VC Yontemi</t>
  </si>
  <si>
    <t xml:space="preserve">3. Kullanici Bazli</t>
  </si>
  <si>
    <t xml:space="preserve">4. EBITDA Bazli</t>
  </si>
  <si>
    <t xml:space="preserve">Post-Money Degerleme (TL)</t>
  </si>
  <si>
    <t xml:space="preserve">AGIRLIKLI ORTALAMA DEGERLEME (TL)</t>
  </si>
  <si>
    <t xml:space="preserve">USD/TL Kuru (2026 tahmini)</t>
  </si>
  <si>
    <t xml:space="preserve">%10 Hisse Icin Yatirim (USD)</t>
  </si>
  <si>
    <t xml:space="preserve">%10 HISSE ICIN YATIRIM TUTARI</t>
  </si>
  <si>
    <t xml:space="preserve">%10 Hisse Icin Yatirim (TL)</t>
  </si>
  <si>
    <t xml:space="preserve">Yatirimci Hisse Orani</t>
  </si>
  <si>
    <t xml:space="preserve">5. TL cinsinden degerlemeler doviz kuru riskine tabidir.</t>
  </si>
  <si>
    <t xml:space="preserve">8. Bu calisma bagimsiz bir degerleme raporu yerine gecmez.</t>
  </si>
  <si>
    <t xml:space="preserve">DEGERLEME NOTLARI</t>
  </si>
  <si>
    <t xml:space="preserve">1. Bu degerleme 3 senaryo finansal projeksiyonlarina dayanmaktadir.</t>
  </si>
  <si>
    <t xml:space="preserve">2. Gelir carpanlari 2024-2025 kuresel marketplace/platform yatirim turlarina dayanir.</t>
  </si>
  <si>
    <t xml:space="preserve">3. VC yontemi: 5 yillik cikis, tum senaryolarda 10x Seed getiri hedefi sabittir.</t>
  </si>
  <si>
    <t xml:space="preserve">4. MAU basina deger: (Sponsor Odeme + Platform Geliri) / Ay12 MAU formulu ile hesaplanir.</t>
  </si>
  <si>
    <t xml:space="preserve">5. EBITDA yontemi: EBITDA negatifse deger 0 alinir. Erken asama 10-20x carpan kullanilir.</t>
  </si>
  <si>
    <t xml:space="preserve">6. Triangulasyonda: Gelir %30, VC %30, Kullanici %20, EBITDA %20 agirlik.</t>
  </si>
  <si>
    <t xml:space="preserve">7. Varsayimlar degistiginde tum hesaplar otomatik guncellenir.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</si>
</sst>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#,##0&quot; kullanici&quot;"/>
    <numFmt numFmtId="168" formatCode="#,##0.0"/>
    <numFmt numFmtId="169" formatCode="#,##0.0&quot; TL&quot;"/>
    <numFmt numFmtId="170" formatCode="@"/>
    <numFmt numFmtId="171" formatCode="0%"/>
    <numFmt numFmtId="172" formatCode="0.0"/>
    <numFmt numFmtId="173" formatCode="0\x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3300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1"/>
      <color rgb="FFFF33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2"/>
      <charset val="162"/>
    </font>
    <font>
      <i val="true"/>
      <sz val="9"/>
      <color rgb="FF9CA3A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3300"/>
      <name val="Arial"/>
      <family val="0"/>
      <charset val="1"/>
    </font>
    <font>
      <b val="true"/>
      <sz val="9"/>
      <color rgb="FFFF3300"/>
      <name val="Arial"/>
      <family val="0"/>
      <charset val="1"/>
    </font>
    <font>
      <b val="true"/>
      <sz val="10"/>
      <color rgb="FF0D0D0F"/>
      <name val="Arial"/>
      <family val="0"/>
      <charset val="1"/>
    </font>
    <font>
      <b val="true"/>
      <sz val="10"/>
      <color rgb="FF00896B"/>
      <name val="Arial"/>
      <family val="0"/>
      <charset val="1"/>
    </font>
    <font>
      <b val="true"/>
      <sz val="10"/>
      <color rgb="FF2563EB"/>
      <name val="Arial"/>
      <family val="0"/>
      <charset val="1"/>
    </font>
    <font>
      <i val="true"/>
      <sz val="9"/>
      <color rgb="FFFF3300"/>
      <name val="Arial"/>
      <family val="0"/>
      <charset val="1"/>
    </font>
    <font>
      <i val="true"/>
      <sz val="9"/>
      <color rgb="FF00896B"/>
      <name val="Arial"/>
      <family val="0"/>
      <charset val="1"/>
    </font>
    <font>
      <i val="true"/>
      <sz val="9"/>
      <color rgb="FF2563EB"/>
      <name val="Arial"/>
      <family val="0"/>
      <charset val="1"/>
    </font>
    <font>
      <b val="true"/>
      <sz val="14"/>
      <color rgb="FF0D0D0F"/>
      <name val="Georgia"/>
      <family val="0"/>
      <charset val="1"/>
    </font>
    <font>
      <i val="true"/>
      <sz val="9"/>
      <color rgb="FF78716C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2"/>
      <charset val="162"/>
    </font>
    <font>
      <b val="true"/>
      <sz val="10"/>
      <color rgb="FF000000"/>
      <name val="Arial"/>
      <family val="2"/>
      <charset val="162"/>
    </font>
    <font>
      <b val="true"/>
      <sz val="11"/>
      <color rgb="FF0D0D0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0D0D0F"/>
        <bgColor rgb="FF000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33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96B"/>
      <rgbColor rgb="FFC0C0C0"/>
      <rgbColor rgb="FF78716C"/>
      <rgbColor rgb="FF9999FF"/>
      <rgbColor rgb="FF993366"/>
      <rgbColor rgb="FFFFF9C4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D0D0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3300"/>
    <pageSetUpPr fitToPage="false"/>
  </sheetPr>
  <dimension ref="A1:G100"/>
  <sheetViews>
    <sheetView showFormulas="false" showGridLines="true" showRowColHeaders="true" showZeros="true" rightToLeft="false" tabSelected="false" showOutlineSymbols="true" defaultGridColor="true" view="normal" topLeftCell="A53" colorId="64" zoomScale="100" zoomScaleNormal="100" zoomScalePageLayoutView="100" workbookViewId="0">
      <selection pane="topLeft" activeCell="B61" activeCellId="0" sqref="B6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  <col collapsed="false" customWidth="true" hidden="false" outlineLevel="0" max="5" min="5" style="1" width="22"/>
    <col collapsed="false" customWidth="true" hidden="false" outlineLevel="0" max="6" min="6" style="1" width="5"/>
    <col collapsed="false" customWidth="true" hidden="false" outlineLevel="0" max="7" min="7" style="1" width="4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70</v>
      </c>
      <c r="E5" s="3" t="s">
        <v>4</v>
      </c>
    </row>
    <row r="6" customFormat="false" ht="15" hidden="false" customHeight="true" outlineLevel="0" collapsed="false">
      <c r="A6" s="5" t="s">
        <v>5</v>
      </c>
      <c r="B6" s="6" t="n">
        <v>45</v>
      </c>
      <c r="E6" s="3" t="s">
        <v>6</v>
      </c>
    </row>
    <row r="7" customFormat="false" ht="15" hidden="false" customHeight="true" outlineLevel="0" collapsed="false">
      <c r="A7" s="5" t="s">
        <v>7</v>
      </c>
      <c r="B7" s="7" t="n">
        <v>0.005</v>
      </c>
      <c r="E7" s="8" t="n">
        <f aca="false">B6*B7*1000000</f>
        <v>225000</v>
      </c>
      <c r="G7" s="3" t="s">
        <v>8</v>
      </c>
    </row>
    <row r="9" customFormat="false" ht="15" hidden="false" customHeight="true" outlineLevel="0" collapsed="false">
      <c r="A9" s="4" t="s">
        <v>9</v>
      </c>
    </row>
    <row r="10" customFormat="false" ht="15" hidden="false" customHeight="true" outlineLevel="0" collapsed="false">
      <c r="A10" s="9" t="s">
        <v>10</v>
      </c>
      <c r="B10" s="9" t="s">
        <v>11</v>
      </c>
      <c r="C10" s="9" t="s">
        <v>12</v>
      </c>
      <c r="D10" s="9" t="s">
        <v>13</v>
      </c>
      <c r="E10" s="9" t="s">
        <v>14</v>
      </c>
    </row>
    <row r="11" customFormat="false" ht="15" hidden="false" customHeight="true" outlineLevel="0" collapsed="false">
      <c r="A11" s="10" t="s">
        <v>15</v>
      </c>
      <c r="B11" s="11" t="n">
        <v>5000</v>
      </c>
      <c r="C11" s="11" t="n">
        <v>5000</v>
      </c>
      <c r="D11" s="11" t="n">
        <v>5000</v>
      </c>
      <c r="E11" s="12" t="s">
        <v>16</v>
      </c>
    </row>
    <row r="12" customFormat="false" ht="15" hidden="false" customHeight="true" outlineLevel="0" collapsed="false">
      <c r="A12" s="10" t="s">
        <v>17</v>
      </c>
      <c r="B12" s="13" t="n">
        <v>0.21</v>
      </c>
      <c r="C12" s="13" t="n">
        <v>0.26</v>
      </c>
      <c r="D12" s="13" t="n">
        <v>0.32</v>
      </c>
      <c r="E12" s="12" t="s">
        <v>18</v>
      </c>
    </row>
    <row r="13" customFormat="false" ht="15" hidden="false" customHeight="true" outlineLevel="0" collapsed="false">
      <c r="A13" s="10" t="s">
        <v>19</v>
      </c>
      <c r="B13" s="13" t="n">
        <v>0.1</v>
      </c>
      <c r="C13" s="14" t="n">
        <v>0.12</v>
      </c>
      <c r="D13" s="13" t="n">
        <v>0.15</v>
      </c>
      <c r="E13" s="12" t="s">
        <v>20</v>
      </c>
    </row>
    <row r="14" customFormat="false" ht="15" hidden="false" customHeight="true" outlineLevel="0" collapsed="false">
      <c r="A14" s="10" t="s">
        <v>21</v>
      </c>
      <c r="B14" s="13" t="n">
        <v>0.5</v>
      </c>
      <c r="C14" s="13" t="n">
        <v>0.6</v>
      </c>
      <c r="D14" s="13" t="n">
        <v>0.7</v>
      </c>
      <c r="E14" s="12" t="s">
        <v>22</v>
      </c>
    </row>
    <row r="15" customFormat="false" ht="15" hidden="false" customHeight="true" outlineLevel="0" collapsed="false">
      <c r="A15" s="10" t="s">
        <v>23</v>
      </c>
      <c r="B15" s="13" t="n">
        <v>0.15</v>
      </c>
      <c r="C15" s="13" t="n">
        <v>0.2</v>
      </c>
      <c r="D15" s="13" t="n">
        <v>0.25</v>
      </c>
      <c r="E15" s="12" t="s">
        <v>24</v>
      </c>
    </row>
    <row r="16" customFormat="false" ht="15" hidden="false" customHeight="true" outlineLevel="0" collapsed="false">
      <c r="A16" s="10" t="s">
        <v>25</v>
      </c>
      <c r="B16" s="13" t="n">
        <v>0.25</v>
      </c>
      <c r="C16" s="13" t="n">
        <v>0.35</v>
      </c>
      <c r="D16" s="13" t="n">
        <v>0.45</v>
      </c>
      <c r="E16" s="12" t="s">
        <v>26</v>
      </c>
    </row>
    <row r="17" customFormat="false" ht="15" hidden="false" customHeight="true" outlineLevel="0" collapsed="false">
      <c r="A17" s="10" t="s">
        <v>27</v>
      </c>
      <c r="B17" s="11" t="n">
        <v>30</v>
      </c>
      <c r="C17" s="11" t="n">
        <v>30</v>
      </c>
      <c r="D17" s="11" t="n">
        <v>30</v>
      </c>
      <c r="E17" s="12" t="s">
        <v>28</v>
      </c>
    </row>
    <row r="18" customFormat="false" ht="15" hidden="false" customHeight="true" outlineLevel="0" collapsed="false">
      <c r="A18" s="10" t="s">
        <v>29</v>
      </c>
      <c r="B18" s="13" t="n">
        <v>0.55</v>
      </c>
      <c r="C18" s="13" t="n">
        <v>0.65</v>
      </c>
      <c r="D18" s="13" t="n">
        <v>0.75</v>
      </c>
      <c r="E18" s="12" t="s">
        <v>30</v>
      </c>
    </row>
    <row r="19" customFormat="false" ht="15" hidden="false" customHeight="true" outlineLevel="0" collapsed="false">
      <c r="A19" s="10" t="s">
        <v>31</v>
      </c>
      <c r="B19" s="13" t="n">
        <v>0.08</v>
      </c>
      <c r="C19" s="13" t="n">
        <v>0.05</v>
      </c>
      <c r="D19" s="13" t="n">
        <v>0.03</v>
      </c>
      <c r="E19" s="12" t="s">
        <v>32</v>
      </c>
    </row>
    <row r="22" customFormat="false" ht="15" hidden="false" customHeight="true" outlineLevel="0" collapsed="false">
      <c r="A22" s="4" t="s">
        <v>33</v>
      </c>
    </row>
    <row r="23" customFormat="false" ht="15" hidden="false" customHeight="true" outlineLevel="0" collapsed="false">
      <c r="A23" s="9" t="s">
        <v>34</v>
      </c>
      <c r="B23" s="9" t="s">
        <v>35</v>
      </c>
      <c r="C23" s="9" t="s">
        <v>36</v>
      </c>
      <c r="D23" s="9" t="s">
        <v>37</v>
      </c>
      <c r="E23" s="9" t="s">
        <v>38</v>
      </c>
    </row>
    <row r="24" customFormat="false" ht="15" hidden="false" customHeight="true" outlineLevel="0" collapsed="false">
      <c r="A24" s="10" t="s">
        <v>39</v>
      </c>
      <c r="B24" s="11" t="n">
        <v>110</v>
      </c>
      <c r="C24" s="13" t="n">
        <v>0.38</v>
      </c>
      <c r="D24" s="15" t="n">
        <f aca="false">B24*C24</f>
        <v>41.8</v>
      </c>
      <c r="E24" s="12" t="s">
        <v>40</v>
      </c>
    </row>
    <row r="25" customFormat="false" ht="15" hidden="false" customHeight="true" outlineLevel="0" collapsed="false">
      <c r="A25" s="10" t="s">
        <v>41</v>
      </c>
      <c r="B25" s="11" t="n">
        <v>35</v>
      </c>
      <c r="C25" s="13" t="n">
        <v>0.22</v>
      </c>
      <c r="D25" s="16" t="n">
        <v>8</v>
      </c>
      <c r="E25" s="12" t="s">
        <v>42</v>
      </c>
    </row>
    <row r="26" customFormat="false" ht="15" hidden="false" customHeight="true" outlineLevel="0" collapsed="false">
      <c r="A26" s="10" t="s">
        <v>43</v>
      </c>
      <c r="B26" s="11" t="n">
        <v>150</v>
      </c>
      <c r="C26" s="13" t="n">
        <v>0.17</v>
      </c>
      <c r="D26" s="16" t="n">
        <v>26</v>
      </c>
      <c r="E26" s="12" t="s">
        <v>44</v>
      </c>
    </row>
    <row r="27" customFormat="false" ht="15" hidden="false" customHeight="true" outlineLevel="0" collapsed="false">
      <c r="A27" s="17" t="s">
        <v>45</v>
      </c>
      <c r="B27" s="18" t="n">
        <v>0</v>
      </c>
      <c r="C27" s="19" t="n">
        <v>0</v>
      </c>
      <c r="D27" s="20" t="n">
        <f aca="false">B27*C27</f>
        <v>0</v>
      </c>
      <c r="E27" s="21"/>
    </row>
    <row r="28" customFormat="false" ht="15" hidden="false" customHeight="true" outlineLevel="0" collapsed="false">
      <c r="A28" s="10" t="s">
        <v>46</v>
      </c>
      <c r="B28" s="11" t="n">
        <v>250</v>
      </c>
      <c r="C28" s="13" t="n">
        <v>0.12</v>
      </c>
      <c r="D28" s="16" t="n">
        <v>30</v>
      </c>
      <c r="E28" s="12" t="s">
        <v>47</v>
      </c>
    </row>
    <row r="29" customFormat="false" ht="15" hidden="false" customHeight="true" outlineLevel="0" collapsed="false">
      <c r="A29" s="10" t="s">
        <v>48</v>
      </c>
      <c r="B29" s="11" t="n">
        <v>110</v>
      </c>
      <c r="C29" s="13" t="n">
        <v>0.11</v>
      </c>
      <c r="D29" s="15" t="n">
        <f aca="false">B29*C29</f>
        <v>12.1</v>
      </c>
      <c r="E29" s="12" t="s">
        <v>49</v>
      </c>
    </row>
    <row r="30" customFormat="false" ht="15" hidden="false" customHeight="true" outlineLevel="0" collapsed="false">
      <c r="A30" s="22" t="s">
        <v>50</v>
      </c>
      <c r="C30" s="23" t="n">
        <f aca="false">SUM(C24:C29)</f>
        <v>1</v>
      </c>
      <c r="D30" s="24" t="n">
        <v>117</v>
      </c>
    </row>
    <row r="33" customFormat="false" ht="15" hidden="false" customHeight="true" outlineLevel="0" collapsed="false">
      <c r="A33" s="4" t="s">
        <v>51</v>
      </c>
    </row>
    <row r="34" customFormat="false" ht="15" hidden="false" customHeight="true" outlineLevel="0" collapsed="false">
      <c r="A34" s="9" t="s">
        <v>52</v>
      </c>
      <c r="B34" s="9" t="s">
        <v>53</v>
      </c>
      <c r="C34" s="9" t="s">
        <v>14</v>
      </c>
      <c r="D34" s="9"/>
      <c r="E34" s="9"/>
    </row>
    <row r="35" customFormat="false" ht="15" hidden="false" customHeight="true" outlineLevel="0" collapsed="false">
      <c r="A35" s="10" t="s">
        <v>54</v>
      </c>
      <c r="B35" s="25" t="s">
        <v>55</v>
      </c>
      <c r="C35" s="12" t="s">
        <v>56</v>
      </c>
    </row>
    <row r="36" customFormat="false" ht="15" hidden="false" customHeight="true" outlineLevel="0" collapsed="false">
      <c r="A36" s="10" t="s">
        <v>57</v>
      </c>
      <c r="B36" s="25" t="s">
        <v>58</v>
      </c>
      <c r="C36" s="12" t="s">
        <v>59</v>
      </c>
    </row>
    <row r="37" customFormat="false" ht="15" hidden="false" customHeight="true" outlineLevel="0" collapsed="false">
      <c r="A37" s="10" t="s">
        <v>60</v>
      </c>
      <c r="B37" s="25" t="s">
        <v>61</v>
      </c>
      <c r="C37" s="12" t="s">
        <v>62</v>
      </c>
    </row>
    <row r="38" customFormat="false" ht="15" hidden="false" customHeight="true" outlineLevel="0" collapsed="false">
      <c r="A38" s="10" t="s">
        <v>63</v>
      </c>
      <c r="B38" s="25" t="s">
        <v>64</v>
      </c>
      <c r="C38" s="12" t="s">
        <v>65</v>
      </c>
    </row>
    <row r="39" customFormat="false" ht="15" hidden="false" customHeight="true" outlineLevel="0" collapsed="false">
      <c r="A39" s="10" t="s">
        <v>66</v>
      </c>
      <c r="B39" s="25" t="s">
        <v>67</v>
      </c>
      <c r="C39" s="12" t="s">
        <v>68</v>
      </c>
    </row>
    <row r="40" customFormat="false" ht="15" hidden="false" customHeight="true" outlineLevel="0" collapsed="false">
      <c r="A40" s="10" t="s">
        <v>69</v>
      </c>
      <c r="B40" s="25" t="s">
        <v>70</v>
      </c>
      <c r="C40" s="12" t="s">
        <v>71</v>
      </c>
    </row>
    <row r="41" customFormat="false" ht="15" hidden="false" customHeight="true" outlineLevel="0" collapsed="false">
      <c r="A41" s="10" t="s">
        <v>72</v>
      </c>
      <c r="B41" s="25" t="s">
        <v>73</v>
      </c>
      <c r="C41" s="12" t="s">
        <v>74</v>
      </c>
    </row>
    <row r="42" customFormat="false" ht="15" hidden="false" customHeight="true" outlineLevel="0" collapsed="false">
      <c r="A42" s="10" t="s">
        <v>75</v>
      </c>
      <c r="B42" s="25" t="s">
        <v>76</v>
      </c>
      <c r="C42" s="12" t="s">
        <v>77</v>
      </c>
    </row>
    <row r="43" customFormat="false" ht="15" hidden="false" customHeight="true" outlineLevel="0" collapsed="false">
      <c r="A43" s="10" t="s">
        <v>78</v>
      </c>
      <c r="B43" s="25" t="s">
        <v>79</v>
      </c>
      <c r="C43" s="12" t="s">
        <v>80</v>
      </c>
    </row>
    <row r="44" customFormat="false" ht="15" hidden="false" customHeight="true" outlineLevel="0" collapsed="false">
      <c r="A44" s="22" t="s">
        <v>81</v>
      </c>
    </row>
    <row r="45" customFormat="false" ht="15" hidden="false" customHeight="true" outlineLevel="0" collapsed="false">
      <c r="A45" s="10" t="s">
        <v>82</v>
      </c>
      <c r="B45" s="26" t="s">
        <v>83</v>
      </c>
      <c r="C45" s="12" t="s">
        <v>84</v>
      </c>
    </row>
    <row r="46" customFormat="false" ht="15" hidden="false" customHeight="true" outlineLevel="0" collapsed="false">
      <c r="A46" s="10" t="s">
        <v>85</v>
      </c>
      <c r="B46" s="26" t="s">
        <v>86</v>
      </c>
      <c r="C46" s="12" t="s">
        <v>87</v>
      </c>
    </row>
    <row r="47" customFormat="false" ht="15" hidden="false" customHeight="true" outlineLevel="0" collapsed="false">
      <c r="A47" s="27" t="s">
        <v>88</v>
      </c>
      <c r="B47" s="26" t="s">
        <v>89</v>
      </c>
      <c r="C47" s="28" t="s">
        <v>90</v>
      </c>
      <c r="D47" s="9" t="s">
        <v>13</v>
      </c>
      <c r="E47" s="9" t="s">
        <v>14</v>
      </c>
    </row>
    <row r="48" customFormat="false" ht="15" hidden="false" customHeight="true" outlineLevel="0" collapsed="false">
      <c r="A48" s="10" t="s">
        <v>91</v>
      </c>
      <c r="B48" s="11" t="n">
        <v>1</v>
      </c>
      <c r="C48" s="11" t="n">
        <v>2</v>
      </c>
      <c r="D48" s="11" t="n">
        <v>3</v>
      </c>
      <c r="E48" s="12" t="s">
        <v>92</v>
      </c>
    </row>
    <row r="49" customFormat="false" ht="15" hidden="false" customHeight="true" outlineLevel="0" collapsed="false">
      <c r="A49" s="10" t="s">
        <v>93</v>
      </c>
      <c r="B49" s="11" t="n">
        <v>3</v>
      </c>
      <c r="C49" s="11" t="n">
        <v>5</v>
      </c>
      <c r="D49" s="11" t="n">
        <v>8</v>
      </c>
      <c r="E49" s="12" t="s">
        <v>94</v>
      </c>
    </row>
    <row r="50" customFormat="false" ht="15" hidden="false" customHeight="true" outlineLevel="0" collapsed="false">
      <c r="A50" s="10" t="s">
        <v>95</v>
      </c>
      <c r="B50" s="11" t="n">
        <v>5</v>
      </c>
      <c r="C50" s="11" t="n">
        <v>10</v>
      </c>
      <c r="D50" s="11" t="n">
        <v>18</v>
      </c>
      <c r="E50" s="12" t="s">
        <v>96</v>
      </c>
    </row>
    <row r="51" customFormat="false" ht="15" hidden="false" customHeight="true" outlineLevel="0" collapsed="false">
      <c r="A51" s="10" t="s">
        <v>97</v>
      </c>
      <c r="B51" s="13" t="n">
        <v>0.6</v>
      </c>
      <c r="C51" s="13" t="n">
        <v>0.4</v>
      </c>
      <c r="D51" s="13" t="n">
        <v>0.3</v>
      </c>
      <c r="E51" s="12" t="s">
        <v>98</v>
      </c>
    </row>
    <row r="52" customFormat="false" ht="15" hidden="false" customHeight="true" outlineLevel="0" collapsed="false">
      <c r="A52" s="10" t="s">
        <v>99</v>
      </c>
      <c r="B52" s="13" t="n">
        <v>0.3</v>
      </c>
      <c r="C52" s="13" t="n">
        <v>0.4</v>
      </c>
      <c r="D52" s="13" t="n">
        <v>0.4</v>
      </c>
      <c r="E52" s="12" t="s">
        <v>100</v>
      </c>
    </row>
    <row r="53" customFormat="false" ht="15" hidden="false" customHeight="true" outlineLevel="0" collapsed="false">
      <c r="A53" s="10" t="s">
        <v>101</v>
      </c>
      <c r="B53" s="13" t="n">
        <v>0.1</v>
      </c>
      <c r="C53" s="13" t="n">
        <v>0.2</v>
      </c>
      <c r="D53" s="13" t="n">
        <v>0.3</v>
      </c>
      <c r="E53" s="12" t="s">
        <v>102</v>
      </c>
    </row>
    <row r="54" customFormat="false" ht="15" hidden="false" customHeight="true" outlineLevel="0" collapsed="false">
      <c r="A54" s="10" t="s">
        <v>103</v>
      </c>
      <c r="B54" s="13" t="n">
        <v>0.02</v>
      </c>
      <c r="C54" s="13" t="n">
        <v>0.03</v>
      </c>
      <c r="D54" s="13" t="n">
        <v>0.05</v>
      </c>
      <c r="E54" s="12" t="s">
        <v>104</v>
      </c>
    </row>
    <row r="55" customFormat="false" ht="15" hidden="false" customHeight="true" outlineLevel="0" collapsed="false">
      <c r="A55" s="10" t="s">
        <v>105</v>
      </c>
      <c r="B55" s="11" t="n">
        <v>5</v>
      </c>
      <c r="C55" s="11" t="n">
        <v>15</v>
      </c>
      <c r="D55" s="11" t="n">
        <v>30</v>
      </c>
      <c r="E55" s="12" t="s">
        <v>106</v>
      </c>
    </row>
    <row r="56" customFormat="false" ht="15" hidden="false" customHeight="true" outlineLevel="0" collapsed="false">
      <c r="A56" s="10" t="s">
        <v>107</v>
      </c>
      <c r="B56" s="29" t="n">
        <v>3</v>
      </c>
      <c r="C56" s="29" t="n">
        <v>8</v>
      </c>
      <c r="D56" s="29" t="n">
        <v>20</v>
      </c>
      <c r="E56" s="12" t="s">
        <v>108</v>
      </c>
    </row>
    <row r="57" customFormat="false" ht="15" hidden="false" customHeight="true" outlineLevel="0" collapsed="false">
      <c r="A57" s="10" t="s">
        <v>109</v>
      </c>
      <c r="B57" s="29" t="n">
        <v>75</v>
      </c>
      <c r="C57" s="29" t="n">
        <v>100</v>
      </c>
      <c r="D57" s="29" t="n">
        <v>150</v>
      </c>
      <c r="E57" s="12" t="s">
        <v>110</v>
      </c>
    </row>
    <row r="59" customFormat="false" ht="15" hidden="false" customHeight="true" outlineLevel="0" collapsed="false">
      <c r="A59" s="4" t="s">
        <v>111</v>
      </c>
    </row>
    <row r="60" customFormat="false" ht="15" hidden="false" customHeight="true" outlineLevel="0" collapsed="false">
      <c r="A60" s="9" t="s">
        <v>112</v>
      </c>
      <c r="B60" s="9" t="s">
        <v>113</v>
      </c>
      <c r="C60" s="9" t="s">
        <v>114</v>
      </c>
      <c r="D60" s="9" t="s">
        <v>115</v>
      </c>
      <c r="E60" s="9" t="s">
        <v>14</v>
      </c>
    </row>
    <row r="61" customFormat="false" ht="15" hidden="false" customHeight="true" outlineLevel="0" collapsed="false">
      <c r="A61" s="10" t="s">
        <v>116</v>
      </c>
      <c r="B61" s="30" t="s">
        <v>117</v>
      </c>
      <c r="C61" s="31" t="n">
        <v>0.07</v>
      </c>
      <c r="D61" s="32" t="s">
        <v>118</v>
      </c>
      <c r="E61" s="12" t="s">
        <v>119</v>
      </c>
    </row>
    <row r="62" customFormat="false" ht="23.25" hidden="false" customHeight="true" outlineLevel="0" collapsed="false">
      <c r="A62" s="10" t="s">
        <v>120</v>
      </c>
      <c r="B62" s="30" t="s">
        <v>121</v>
      </c>
      <c r="C62" s="31" t="n">
        <v>0.06</v>
      </c>
      <c r="D62" s="32" t="s">
        <v>122</v>
      </c>
      <c r="E62" s="12" t="s">
        <v>123</v>
      </c>
    </row>
    <row r="63" customFormat="false" ht="23.25" hidden="false" customHeight="true" outlineLevel="0" collapsed="false">
      <c r="A63" s="10" t="s">
        <v>124</v>
      </c>
      <c r="B63" s="30" t="s">
        <v>125</v>
      </c>
      <c r="C63" s="31" t="n">
        <v>0.05</v>
      </c>
      <c r="D63" s="32" t="s">
        <v>126</v>
      </c>
      <c r="E63" s="12" t="s">
        <v>127</v>
      </c>
    </row>
    <row r="64" customFormat="false" ht="15" hidden="false" customHeight="true" outlineLevel="0" collapsed="false">
      <c r="A64" s="10" t="s">
        <v>128</v>
      </c>
      <c r="B64" s="30" t="s">
        <v>129</v>
      </c>
      <c r="C64" s="31" t="n">
        <v>0.04</v>
      </c>
      <c r="D64" s="32" t="s">
        <v>130</v>
      </c>
      <c r="E64" s="12" t="s">
        <v>131</v>
      </c>
    </row>
    <row r="66" customFormat="false" ht="15" hidden="false" customHeight="true" outlineLevel="0" collapsed="false">
      <c r="A66" s="4" t="s">
        <v>132</v>
      </c>
    </row>
    <row r="67" customFormat="false" ht="15" hidden="false" customHeight="true" outlineLevel="0" collapsed="false">
      <c r="A67" s="3" t="s">
        <v>133</v>
      </c>
    </row>
    <row r="68" customFormat="false" ht="15" hidden="false" customHeight="true" outlineLevel="0" collapsed="false">
      <c r="A68" s="3" t="s">
        <v>134</v>
      </c>
    </row>
    <row r="69" customFormat="false" ht="15" hidden="false" customHeight="true" outlineLevel="0" collapsed="false">
      <c r="A69" s="3" t="s">
        <v>135</v>
      </c>
    </row>
    <row r="70" customFormat="false" ht="15" hidden="false" customHeight="true" outlineLevel="0" collapsed="false">
      <c r="A70" s="33" t="s">
        <v>136</v>
      </c>
    </row>
    <row r="72" customFormat="false" ht="15" hidden="false" customHeight="true" outlineLevel="0" collapsed="false">
      <c r="A72" s="4" t="s">
        <v>137</v>
      </c>
    </row>
    <row r="73" customFormat="false" ht="15" hidden="false" customHeight="true" outlineLevel="0" collapsed="false">
      <c r="A73" s="9" t="s">
        <v>112</v>
      </c>
      <c r="B73" s="9" t="s">
        <v>138</v>
      </c>
      <c r="C73" s="9" t="s">
        <v>139</v>
      </c>
      <c r="D73" s="9"/>
      <c r="E73" s="9" t="s">
        <v>14</v>
      </c>
    </row>
    <row r="74" customFormat="false" ht="15" hidden="false" customHeight="true" outlineLevel="0" collapsed="false">
      <c r="A74" s="10" t="s">
        <v>140</v>
      </c>
      <c r="B74" s="30" t="s">
        <v>141</v>
      </c>
      <c r="C74" s="24" t="n">
        <v>2.5</v>
      </c>
      <c r="D74" s="32" t="s">
        <v>142</v>
      </c>
      <c r="E74" s="12" t="s">
        <v>143</v>
      </c>
    </row>
    <row r="75" customFormat="false" ht="23.25" hidden="false" customHeight="true" outlineLevel="0" collapsed="false">
      <c r="A75" s="10" t="s">
        <v>144</v>
      </c>
      <c r="B75" s="30" t="s">
        <v>145</v>
      </c>
      <c r="C75" s="24" t="n">
        <v>3.5</v>
      </c>
      <c r="D75" s="32" t="s">
        <v>146</v>
      </c>
      <c r="E75" s="12" t="s">
        <v>147</v>
      </c>
    </row>
    <row r="76" customFormat="false" ht="15" hidden="false" customHeight="true" outlineLevel="0" collapsed="false">
      <c r="A76" s="10" t="s">
        <v>148</v>
      </c>
      <c r="B76" s="30" t="s">
        <v>149</v>
      </c>
      <c r="C76" s="24" t="n">
        <v>5</v>
      </c>
      <c r="D76" s="32" t="s">
        <v>150</v>
      </c>
      <c r="E76" s="12" t="s">
        <v>151</v>
      </c>
    </row>
    <row r="77" customFormat="false" ht="15" hidden="false" customHeight="true" outlineLevel="0" collapsed="false">
      <c r="A77" s="10" t="s">
        <v>152</v>
      </c>
      <c r="B77" s="30" t="s">
        <v>153</v>
      </c>
      <c r="C77" s="24" t="n">
        <v>6</v>
      </c>
      <c r="E77" s="12" t="s">
        <v>154</v>
      </c>
    </row>
    <row r="79" customFormat="false" ht="15" hidden="false" customHeight="true" outlineLevel="0" collapsed="false">
      <c r="A79" s="34" t="s">
        <v>155</v>
      </c>
    </row>
    <row r="80" customFormat="false" ht="15" hidden="false" customHeight="true" outlineLevel="0" collapsed="false">
      <c r="A80" s="9" t="s">
        <v>112</v>
      </c>
      <c r="B80" s="9" t="s">
        <v>156</v>
      </c>
      <c r="C80" s="9" t="s">
        <v>114</v>
      </c>
      <c r="D80" s="9"/>
      <c r="E80" s="9" t="s">
        <v>14</v>
      </c>
    </row>
    <row r="81" customFormat="false" ht="15" hidden="false" customHeight="true" outlineLevel="0" collapsed="false">
      <c r="A81" s="10" t="s">
        <v>116</v>
      </c>
      <c r="B81" s="26" t="s">
        <v>117</v>
      </c>
      <c r="C81" s="35" t="n">
        <v>0.09</v>
      </c>
      <c r="D81" s="10"/>
      <c r="E81" s="12" t="s">
        <v>157</v>
      </c>
    </row>
    <row r="82" customFormat="false" ht="23.25" hidden="false" customHeight="true" outlineLevel="0" collapsed="false">
      <c r="A82" s="10" t="s">
        <v>120</v>
      </c>
      <c r="B82" s="26" t="s">
        <v>121</v>
      </c>
      <c r="C82" s="35" t="n">
        <v>0.12</v>
      </c>
      <c r="D82" s="10"/>
      <c r="E82" s="12" t="s">
        <v>158</v>
      </c>
    </row>
    <row r="83" customFormat="false" ht="15" hidden="false" customHeight="true" outlineLevel="0" collapsed="false">
      <c r="A83" s="10" t="s">
        <v>124</v>
      </c>
      <c r="B83" s="26" t="s">
        <v>125</v>
      </c>
      <c r="C83" s="35" t="n">
        <v>0.14</v>
      </c>
      <c r="D83" s="10"/>
      <c r="E83" s="12" t="s">
        <v>159</v>
      </c>
    </row>
    <row r="84" customFormat="false" ht="15" hidden="false" customHeight="true" outlineLevel="0" collapsed="false">
      <c r="A84" s="10" t="s">
        <v>128</v>
      </c>
      <c r="B84" s="26" t="s">
        <v>129</v>
      </c>
      <c r="C84" s="35" t="n">
        <v>0.16</v>
      </c>
      <c r="D84" s="10"/>
      <c r="E84" s="12" t="s">
        <v>160</v>
      </c>
    </row>
    <row r="85" customFormat="false" ht="15" hidden="false" customHeight="true" outlineLevel="0" collapsed="false">
      <c r="A85" s="4" t="s">
        <v>161</v>
      </c>
    </row>
    <row r="86" customFormat="false" ht="15" hidden="false" customHeight="true" outlineLevel="0" collapsed="false">
      <c r="A86" s="3" t="s">
        <v>162</v>
      </c>
    </row>
    <row r="87" customFormat="false" ht="15" hidden="false" customHeight="true" outlineLevel="0" collapsed="false">
      <c r="A87" s="3" t="s">
        <v>163</v>
      </c>
    </row>
    <row r="88" customFormat="false" ht="15" hidden="false" customHeight="true" outlineLevel="0" collapsed="false">
      <c r="A88" s="3" t="s">
        <v>164</v>
      </c>
    </row>
    <row r="89" customFormat="false" ht="15" hidden="false" customHeight="true" outlineLevel="0" collapsed="false">
      <c r="A89" s="3" t="s">
        <v>165</v>
      </c>
    </row>
    <row r="91" customFormat="false" ht="15" hidden="false" customHeight="true" outlineLevel="0" collapsed="false">
      <c r="A91" s="4" t="s">
        <v>166</v>
      </c>
    </row>
    <row r="92" customFormat="false" ht="15" hidden="false" customHeight="true" outlineLevel="0" collapsed="false">
      <c r="A92" s="36" t="s">
        <v>112</v>
      </c>
      <c r="B92" s="36" t="s">
        <v>167</v>
      </c>
      <c r="C92" s="36" t="s">
        <v>168</v>
      </c>
      <c r="D92" s="36" t="s">
        <v>169</v>
      </c>
      <c r="E92" s="36" t="s">
        <v>170</v>
      </c>
    </row>
    <row r="93" customFormat="false" ht="15" hidden="false" customHeight="true" outlineLevel="0" collapsed="false">
      <c r="A93" s="10" t="s">
        <v>171</v>
      </c>
      <c r="B93" s="26" t="s">
        <v>172</v>
      </c>
      <c r="C93" s="37" t="s">
        <v>173</v>
      </c>
      <c r="D93" s="38" t="s">
        <v>174</v>
      </c>
      <c r="E93" s="39" t="s">
        <v>175</v>
      </c>
    </row>
    <row r="94" customFormat="false" ht="15" hidden="false" customHeight="true" outlineLevel="0" collapsed="false">
      <c r="A94" s="10" t="s">
        <v>176</v>
      </c>
      <c r="B94" s="26" t="s">
        <v>177</v>
      </c>
      <c r="C94" s="37" t="s">
        <v>178</v>
      </c>
      <c r="D94" s="38" t="s">
        <v>179</v>
      </c>
      <c r="E94" s="39" t="s">
        <v>180</v>
      </c>
    </row>
    <row r="95" customFormat="false" ht="15" hidden="false" customHeight="true" outlineLevel="0" collapsed="false">
      <c r="A95" s="10" t="s">
        <v>181</v>
      </c>
      <c r="B95" s="26" t="s">
        <v>182</v>
      </c>
      <c r="C95" s="37" t="s">
        <v>183</v>
      </c>
      <c r="D95" s="38" t="s">
        <v>184</v>
      </c>
      <c r="E95" s="39" t="s">
        <v>185</v>
      </c>
    </row>
    <row r="96" customFormat="false" ht="15" hidden="false" customHeight="true" outlineLevel="0" collapsed="false">
      <c r="A96" s="10" t="s">
        <v>186</v>
      </c>
      <c r="B96" s="26" t="s">
        <v>187</v>
      </c>
      <c r="C96" s="37" t="s">
        <v>188</v>
      </c>
      <c r="D96" s="38" t="s">
        <v>189</v>
      </c>
      <c r="E96" s="39" t="s">
        <v>190</v>
      </c>
    </row>
    <row r="98" customFormat="false" ht="15" hidden="false" customHeight="true" outlineLevel="0" collapsed="false">
      <c r="A98" s="40" t="s">
        <v>191</v>
      </c>
    </row>
    <row r="99" customFormat="false" ht="15" hidden="false" customHeight="true" outlineLevel="0" collapsed="false">
      <c r="A99" s="41" t="s">
        <v>192</v>
      </c>
    </row>
    <row r="100" customFormat="false" ht="15" hidden="false" customHeight="true" outlineLevel="0" collapsed="false">
      <c r="A100" s="42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4" min="2" style="1" width="15"/>
    <col collapsed="false" customWidth="true" hidden="false" outlineLevel="0" max="15" min="15" style="1" width="9"/>
  </cols>
  <sheetData>
    <row r="1" customFormat="false" ht="17.25" hidden="false" customHeight="true" outlineLevel="0" collapsed="false">
      <c r="A1" s="43" t="s">
        <v>194</v>
      </c>
    </row>
    <row r="2" customFormat="false" ht="15" hidden="false" customHeight="true" outlineLevel="0" collapsed="false">
      <c r="A2" s="44" t="s">
        <v>195</v>
      </c>
    </row>
    <row r="3" customFormat="false" ht="15" hidden="false" customHeight="true" outlineLevel="0" collapsed="false">
      <c r="B3" s="45" t="s">
        <v>196</v>
      </c>
      <c r="C3" s="45" t="s">
        <v>197</v>
      </c>
      <c r="D3" s="45" t="s">
        <v>198</v>
      </c>
      <c r="E3" s="45" t="s">
        <v>199</v>
      </c>
      <c r="F3" s="45" t="s">
        <v>200</v>
      </c>
      <c r="G3" s="45" t="s">
        <v>201</v>
      </c>
      <c r="H3" s="45" t="s">
        <v>202</v>
      </c>
      <c r="I3" s="45" t="s">
        <v>203</v>
      </c>
      <c r="J3" s="45" t="s">
        <v>204</v>
      </c>
      <c r="K3" s="45" t="s">
        <v>205</v>
      </c>
      <c r="L3" s="45" t="s">
        <v>206</v>
      </c>
      <c r="M3" s="45" t="s">
        <v>207</v>
      </c>
      <c r="N3" s="45" t="s">
        <v>208</v>
      </c>
    </row>
    <row r="4" customFormat="false" ht="15" hidden="false" customHeight="true" outlineLevel="0" collapsed="false">
      <c r="A4" s="46" t="s">
        <v>209</v>
      </c>
    </row>
    <row r="5" customFormat="false" ht="15" hidden="false" customHeight="true" outlineLevel="0" collapsed="false">
      <c r="A5" s="47" t="s">
        <v>210</v>
      </c>
      <c r="B5" s="48" t="n">
        <f aca="false">Varsayimlar!B11</f>
        <v>5000</v>
      </c>
      <c r="C5" s="49" t="n">
        <f aca="false">ROUND(B5*(1+Varsayimlar!B12)+B11*Varsayimlar!B13,0)</f>
        <v>6332</v>
      </c>
      <c r="D5" s="49" t="n">
        <f aca="false">ROUND(C5*(1+Varsayimlar!B12)+C11*Varsayimlar!B13,0)</f>
        <v>8277</v>
      </c>
      <c r="E5" s="49" t="n">
        <f aca="false">ROUND(D5*(1+Varsayimlar!B12)+D11*Varsayimlar!B13,0)</f>
        <v>11047</v>
      </c>
      <c r="F5" s="49" t="n">
        <f aca="false">ROUND(E5*(1+Varsayimlar!B12)+E11*Varsayimlar!B13,0)</f>
        <v>14939</v>
      </c>
      <c r="G5" s="49" t="n">
        <f aca="false">ROUND(F5*(1+Varsayimlar!B12)+F11*Varsayimlar!B13,0)</f>
        <v>20362</v>
      </c>
      <c r="H5" s="49" t="n">
        <f aca="false">ROUND(G5*(1+Varsayimlar!B12)+G11*Varsayimlar!B13,0)</f>
        <v>27887</v>
      </c>
      <c r="I5" s="49" t="n">
        <f aca="false">ROUND(H5*(1+Varsayimlar!B12)+H11*Varsayimlar!B13,0)</f>
        <v>38300</v>
      </c>
      <c r="J5" s="49" t="n">
        <f aca="false">ROUND(I5*(1+Varsayimlar!B12)+I11*Varsayimlar!B13,0)</f>
        <v>52691</v>
      </c>
      <c r="K5" s="49" t="n">
        <f aca="false">ROUND(J5*(1+Varsayimlar!B12)+J11*Varsayimlar!B13,0)</f>
        <v>72558</v>
      </c>
      <c r="L5" s="49" t="n">
        <f aca="false">ROUND(K5*(1+Varsayimlar!B12)+K11*Varsayimlar!B13,0)</f>
        <v>99975</v>
      </c>
      <c r="M5" s="49" t="n">
        <f aca="false">ROUND(L5*(1+Varsayimlar!B12)+L11*Varsayimlar!B13,0)</f>
        <v>137800</v>
      </c>
      <c r="N5" s="45" t="n">
        <f aca="false">SUM(B5:M5)</f>
        <v>495168</v>
      </c>
    </row>
    <row r="6" customFormat="false" ht="15" hidden="false" customHeight="true" outlineLevel="0" collapsed="false">
      <c r="A6" s="47" t="s">
        <v>211</v>
      </c>
      <c r="B6" s="49" t="n">
        <f aca="false">B5</f>
        <v>5000</v>
      </c>
      <c r="C6" s="49" t="n">
        <f aca="false">B6+C5</f>
        <v>11332</v>
      </c>
      <c r="D6" s="49" t="n">
        <f aca="false">C6+D5</f>
        <v>19609</v>
      </c>
      <c r="E6" s="49" t="n">
        <f aca="false">D6+E5</f>
        <v>30656</v>
      </c>
      <c r="F6" s="49" t="n">
        <f aca="false">E6+F5</f>
        <v>45595</v>
      </c>
      <c r="G6" s="49" t="n">
        <f aca="false">F6+G5</f>
        <v>65957</v>
      </c>
      <c r="H6" s="49" t="n">
        <f aca="false">G6+H5</f>
        <v>93844</v>
      </c>
      <c r="I6" s="49" t="n">
        <f aca="false">H6+I5</f>
        <v>132144</v>
      </c>
      <c r="J6" s="49" t="n">
        <f aca="false">I6+J5</f>
        <v>184835</v>
      </c>
      <c r="K6" s="49" t="n">
        <f aca="false">J6+K5</f>
        <v>257393</v>
      </c>
      <c r="L6" s="49" t="n">
        <f aca="false">K6+L5</f>
        <v>357368</v>
      </c>
      <c r="M6" s="49" t="n">
        <f aca="false">L6+M5</f>
        <v>495168</v>
      </c>
      <c r="N6" s="45" t="n">
        <f aca="false">M6</f>
        <v>495168</v>
      </c>
    </row>
    <row r="7" customFormat="false" ht="14.25" hidden="false" customHeight="true" outlineLevel="0" collapsed="false">
      <c r="A7" s="47" t="s">
        <v>212</v>
      </c>
      <c r="B7" s="48" t="n">
        <f aca="false">ROUND(B6*Varsayimlar!B14,0)</f>
        <v>2500</v>
      </c>
      <c r="C7" s="49" t="n">
        <f aca="false">ROUND(B7*(1-Varsayimlar!B19)+C5*Varsayimlar!B14,0)</f>
        <v>5466</v>
      </c>
      <c r="D7" s="49" t="n">
        <f aca="false">ROUND(C7*(1-Varsayimlar!B19)+D5*Varsayimlar!B14,0)</f>
        <v>9167</v>
      </c>
      <c r="E7" s="49" t="n">
        <f aca="false">ROUND(D7*(1-Varsayimlar!B19)+E5*Varsayimlar!B14,0)</f>
        <v>13957</v>
      </c>
      <c r="F7" s="49" t="n">
        <f aca="false">ROUND(E7*(1-Varsayimlar!B19)+F5*Varsayimlar!B14,0)</f>
        <v>20310</v>
      </c>
      <c r="G7" s="49" t="n">
        <f aca="false">ROUND(F7*(1-Varsayimlar!B19)+G5*Varsayimlar!B14,0)</f>
        <v>28866</v>
      </c>
      <c r="H7" s="49" t="n">
        <f aca="false">ROUND(G7*(1-Varsayimlar!B19)+H5*Varsayimlar!B14,0)</f>
        <v>40500</v>
      </c>
      <c r="I7" s="49" t="n">
        <f aca="false">ROUND(H7*(1-Varsayimlar!B19)+I5*Varsayimlar!B14,0)</f>
        <v>56410</v>
      </c>
      <c r="J7" s="49" t="n">
        <f aca="false">ROUND(I7*(1-Varsayimlar!B19)+J5*Varsayimlar!B14,0)</f>
        <v>78243</v>
      </c>
      <c r="K7" s="49" t="n">
        <f aca="false">ROUND(J7*(1-Varsayimlar!B19)+K5*Varsayimlar!B14,0)</f>
        <v>108263</v>
      </c>
      <c r="L7" s="49" t="n">
        <f aca="false">ROUND(K7*(1-Varsayimlar!B19)+L5*Varsayimlar!B14,0)</f>
        <v>149589</v>
      </c>
      <c r="M7" s="49" t="n">
        <f aca="false">ROUND(L7*(1-Varsayimlar!B19)+M5*Varsayimlar!B14,0)</f>
        <v>206522</v>
      </c>
      <c r="N7" s="45" t="n">
        <f aca="false">M7</f>
        <v>206522</v>
      </c>
    </row>
    <row r="8" customFormat="false" ht="15" hidden="false" customHeight="true" outlineLevel="0" collapsed="false">
      <c r="A8" s="47" t="s">
        <v>213</v>
      </c>
      <c r="B8" s="49" t="n">
        <f aca="false">ROUND(B7*Varsayimlar!B15,0)</f>
        <v>375</v>
      </c>
      <c r="C8" s="49" t="n">
        <f aca="false">ROUND(C7*Varsayimlar!B15,0)</f>
        <v>820</v>
      </c>
      <c r="D8" s="49" t="n">
        <f aca="false">ROUND(D7*Varsayimlar!B15,0)</f>
        <v>1375</v>
      </c>
      <c r="E8" s="49" t="n">
        <f aca="false">ROUND(E7*Varsayimlar!B15,0)</f>
        <v>2094</v>
      </c>
      <c r="F8" s="49" t="n">
        <f aca="false">ROUND(F7*Varsayimlar!B15,0)</f>
        <v>3047</v>
      </c>
      <c r="G8" s="49" t="n">
        <f aca="false">ROUND(G7*Varsayimlar!B15,0)</f>
        <v>4330</v>
      </c>
      <c r="H8" s="49" t="n">
        <f aca="false">ROUND(H7*Varsayimlar!B15,0)</f>
        <v>6075</v>
      </c>
      <c r="I8" s="49" t="n">
        <f aca="false">ROUND(I7*Varsayimlar!B15,0)</f>
        <v>8462</v>
      </c>
      <c r="J8" s="49" t="n">
        <f aca="false">ROUND(J7*Varsayimlar!B15,0)</f>
        <v>11736</v>
      </c>
      <c r="K8" s="49" t="n">
        <f aca="false">ROUND(K7*Varsayimlar!B15,0)</f>
        <v>16239</v>
      </c>
      <c r="L8" s="49" t="n">
        <f aca="false">ROUND(L7*Varsayimlar!B15,0)</f>
        <v>22438</v>
      </c>
      <c r="M8" s="49" t="n">
        <f aca="false">ROUND(M7*Varsayimlar!B15,0)</f>
        <v>30978</v>
      </c>
      <c r="N8" s="45" t="n">
        <f aca="false">M8</f>
        <v>30978</v>
      </c>
    </row>
    <row r="9" customFormat="false" ht="15" hidden="false" customHeight="true" outlineLevel="0" collapsed="false">
      <c r="A9" s="46" t="s">
        <v>214</v>
      </c>
    </row>
    <row r="10" customFormat="false" ht="15" hidden="false" customHeight="true" outlineLevel="0" collapsed="false">
      <c r="A10" s="47" t="s">
        <v>215</v>
      </c>
      <c r="B10" s="49" t="n">
        <f aca="false">ROUND(B8*Varsayimlar!B16,0)</f>
        <v>94</v>
      </c>
      <c r="C10" s="49" t="n">
        <f aca="false">ROUND(C8*Varsayimlar!B16,0)</f>
        <v>205</v>
      </c>
      <c r="D10" s="49" t="n">
        <f aca="false">ROUND(D8*Varsayimlar!B16,0)</f>
        <v>344</v>
      </c>
      <c r="E10" s="49" t="n">
        <f aca="false">ROUND(E8*Varsayimlar!B16,0)</f>
        <v>524</v>
      </c>
      <c r="F10" s="49" t="n">
        <f aca="false">ROUND(F8*Varsayimlar!B16,0)</f>
        <v>762</v>
      </c>
      <c r="G10" s="49" t="n">
        <f aca="false">ROUND(G8*Varsayimlar!B16,0)</f>
        <v>1083</v>
      </c>
      <c r="H10" s="49" t="n">
        <f aca="false">ROUND(H8*Varsayimlar!B16,0)</f>
        <v>1519</v>
      </c>
      <c r="I10" s="49" t="n">
        <f aca="false">ROUND(I8*Varsayimlar!B16,0)</f>
        <v>2116</v>
      </c>
      <c r="J10" s="49" t="n">
        <f aca="false">ROUND(J8*Varsayimlar!B16,0)</f>
        <v>2934</v>
      </c>
      <c r="K10" s="49" t="n">
        <f aca="false">ROUND(K8*Varsayimlar!B16,0)</f>
        <v>4060</v>
      </c>
      <c r="L10" s="49" t="n">
        <f aca="false">ROUND(L8*Varsayimlar!B16,0)</f>
        <v>5610</v>
      </c>
      <c r="M10" s="49" t="n">
        <f aca="false">ROUND(M8*Varsayimlar!B16,0)</f>
        <v>7745</v>
      </c>
      <c r="N10" s="45" t="n">
        <f aca="false">ROUND(SUM(B10:M10)/12,0)</f>
        <v>2250</v>
      </c>
    </row>
    <row r="11" customFormat="false" ht="15" hidden="false" customHeight="true" outlineLevel="0" collapsed="false">
      <c r="A11" s="47" t="s">
        <v>216</v>
      </c>
      <c r="B11" s="49" t="n">
        <f aca="false">B10*Varsayimlar!B17</f>
        <v>2820</v>
      </c>
      <c r="C11" s="49" t="n">
        <f aca="false">C10*Varsayimlar!B17</f>
        <v>6150</v>
      </c>
      <c r="D11" s="49" t="n">
        <f aca="false">D10*Varsayimlar!B17</f>
        <v>10320</v>
      </c>
      <c r="E11" s="49" t="n">
        <f aca="false">E10*Varsayimlar!B17</f>
        <v>15720</v>
      </c>
      <c r="F11" s="49" t="n">
        <f aca="false">F10*Varsayimlar!B17</f>
        <v>22860</v>
      </c>
      <c r="G11" s="49" t="n">
        <f aca="false">G10*Varsayimlar!B17</f>
        <v>32490</v>
      </c>
      <c r="H11" s="49" t="n">
        <f aca="false">H10*Varsayimlar!B17</f>
        <v>45570</v>
      </c>
      <c r="I11" s="49" t="n">
        <f aca="false">I10*Varsayimlar!B17</f>
        <v>63480</v>
      </c>
      <c r="J11" s="49" t="n">
        <f aca="false">J10*Varsayimlar!B17</f>
        <v>88020</v>
      </c>
      <c r="K11" s="49" t="n">
        <f aca="false">K10*Varsayimlar!B17</f>
        <v>121800</v>
      </c>
      <c r="L11" s="49" t="n">
        <f aca="false">L10*Varsayimlar!B17</f>
        <v>168300</v>
      </c>
      <c r="M11" s="49" t="n">
        <f aca="false">M10*Varsayimlar!B17</f>
        <v>232350</v>
      </c>
      <c r="N11" s="45" t="n">
        <f aca="false">SUM(B11:M11)</f>
        <v>809880</v>
      </c>
    </row>
    <row r="12" customFormat="false" ht="15" hidden="false" customHeight="true" outlineLevel="0" collapsed="false">
      <c r="A12" s="47" t="s">
        <v>217</v>
      </c>
      <c r="B12" s="49" t="n">
        <f aca="false">ROUND(B11*Varsayimlar!B18,0)</f>
        <v>1551</v>
      </c>
      <c r="C12" s="49" t="n">
        <f aca="false">ROUND(C11*Varsayimlar!B18,0)</f>
        <v>3383</v>
      </c>
      <c r="D12" s="49" t="n">
        <f aca="false">ROUND(D11*Varsayimlar!B18,0)</f>
        <v>5676</v>
      </c>
      <c r="E12" s="49" t="n">
        <f aca="false">ROUND(E11*Varsayimlar!B18,0)</f>
        <v>8646</v>
      </c>
      <c r="F12" s="49" t="n">
        <f aca="false">ROUND(F11*Varsayimlar!B18,0)</f>
        <v>12573</v>
      </c>
      <c r="G12" s="49" t="n">
        <f aca="false">ROUND(G11*Varsayimlar!B18,0)</f>
        <v>17870</v>
      </c>
      <c r="H12" s="49" t="n">
        <f aca="false">ROUND(H11*Varsayimlar!B18,0)</f>
        <v>25064</v>
      </c>
      <c r="I12" s="49" t="n">
        <f aca="false">ROUND(I11*Varsayimlar!B18,0)</f>
        <v>34914</v>
      </c>
      <c r="J12" s="49" t="n">
        <f aca="false">ROUND(J11*Varsayimlar!B18,0)</f>
        <v>48411</v>
      </c>
      <c r="K12" s="49" t="n">
        <f aca="false">ROUND(K11*Varsayimlar!B18,0)</f>
        <v>66990</v>
      </c>
      <c r="L12" s="49" t="n">
        <f aca="false">ROUND(L11*Varsayimlar!B18,0)</f>
        <v>92565</v>
      </c>
      <c r="M12" s="49" t="n">
        <f aca="false">ROUND(M11*Varsayimlar!B18,0)</f>
        <v>127793</v>
      </c>
      <c r="N12" s="45" t="n">
        <f aca="false">SUM(B12:M12)</f>
        <v>445436</v>
      </c>
      <c r="O12" s="1" t="n">
        <f aca="false">N12/M7*M14</f>
        <v>252.350897240972</v>
      </c>
    </row>
    <row r="13" customFormat="false" ht="15" hidden="false" customHeight="true" outlineLevel="0" collapsed="false">
      <c r="A13" s="47" t="s">
        <v>218</v>
      </c>
      <c r="B13" s="49" t="n">
        <f aca="false">B11-B12</f>
        <v>1269</v>
      </c>
      <c r="C13" s="49" t="n">
        <f aca="false">C11-C12</f>
        <v>2767</v>
      </c>
      <c r="D13" s="49" t="n">
        <f aca="false">D11-D12</f>
        <v>4644</v>
      </c>
      <c r="E13" s="49" t="n">
        <f aca="false">E11-E12</f>
        <v>7074</v>
      </c>
      <c r="F13" s="49" t="n">
        <f aca="false">F11-F12</f>
        <v>10287</v>
      </c>
      <c r="G13" s="49" t="n">
        <f aca="false">G11-G12</f>
        <v>14620</v>
      </c>
      <c r="H13" s="49" t="n">
        <f aca="false">H11-H12</f>
        <v>20506</v>
      </c>
      <c r="I13" s="49" t="n">
        <f aca="false">I11-I12</f>
        <v>28566</v>
      </c>
      <c r="J13" s="49" t="n">
        <f aca="false">J11-J12</f>
        <v>39609</v>
      </c>
      <c r="K13" s="49" t="n">
        <f aca="false">K11-K12</f>
        <v>54810</v>
      </c>
      <c r="L13" s="49" t="n">
        <f aca="false">L11-L12</f>
        <v>75735</v>
      </c>
      <c r="M13" s="49" t="n">
        <f aca="false">M11-M12</f>
        <v>104557</v>
      </c>
      <c r="N13" s="45" t="n">
        <f aca="false">SUM(B13:M13)</f>
        <v>364444</v>
      </c>
      <c r="O13" s="50"/>
    </row>
    <row r="14" customFormat="false" ht="15" hidden="false" customHeight="true" outlineLevel="0" collapsed="false">
      <c r="A14" s="47" t="s">
        <v>219</v>
      </c>
      <c r="B14" s="48" t="n">
        <f aca="false">Varsayimlar!D30</f>
        <v>117</v>
      </c>
      <c r="C14" s="48" t="n">
        <f aca="false">Varsayimlar!D30</f>
        <v>117</v>
      </c>
      <c r="D14" s="48" t="n">
        <f aca="false">Varsayimlar!D30</f>
        <v>117</v>
      </c>
      <c r="E14" s="48" t="n">
        <f aca="false">Varsayimlar!D30</f>
        <v>117</v>
      </c>
      <c r="F14" s="48" t="n">
        <f aca="false">Varsayimlar!D30</f>
        <v>117</v>
      </c>
      <c r="G14" s="48" t="n">
        <f aca="false">Varsayimlar!D30</f>
        <v>117</v>
      </c>
      <c r="H14" s="48" t="n">
        <f aca="false">Varsayimlar!D30</f>
        <v>117</v>
      </c>
      <c r="I14" s="48" t="n">
        <f aca="false">Varsayimlar!D30</f>
        <v>117</v>
      </c>
      <c r="J14" s="48" t="n">
        <f aca="false">Varsayimlar!D30</f>
        <v>117</v>
      </c>
      <c r="K14" s="48" t="n">
        <f aca="false">Varsayimlar!D30</f>
        <v>117</v>
      </c>
      <c r="L14" s="48" t="n">
        <f aca="false">Varsayimlar!D30</f>
        <v>117</v>
      </c>
      <c r="M14" s="48" t="n">
        <f aca="false">Varsayimlar!D30</f>
        <v>117</v>
      </c>
    </row>
    <row r="16" customFormat="false" ht="15" hidden="false" customHeight="true" outlineLevel="0" collapsed="false">
      <c r="A16" s="46" t="s">
        <v>220</v>
      </c>
    </row>
    <row r="17" customFormat="false" ht="15" hidden="false" customHeight="true" outlineLevel="0" collapsed="false">
      <c r="A17" s="47" t="s">
        <v>221</v>
      </c>
      <c r="B17" s="49" t="n">
        <f aca="false">B12*B14</f>
        <v>181467</v>
      </c>
      <c r="C17" s="49" t="n">
        <f aca="false">C12*C14</f>
        <v>395811</v>
      </c>
      <c r="D17" s="49" t="n">
        <f aca="false">D12*D14</f>
        <v>664092</v>
      </c>
      <c r="E17" s="49" t="n">
        <f aca="false">E12*E14</f>
        <v>1011582</v>
      </c>
      <c r="F17" s="49" t="n">
        <f aca="false">F12*F14</f>
        <v>1471041</v>
      </c>
      <c r="G17" s="49" t="n">
        <f aca="false">G12*G14</f>
        <v>2090790</v>
      </c>
      <c r="H17" s="49" t="n">
        <f aca="false">H12*H14</f>
        <v>2932488</v>
      </c>
      <c r="I17" s="49" t="n">
        <f aca="false">I12*I14</f>
        <v>4084938</v>
      </c>
      <c r="J17" s="49" t="n">
        <f aca="false">J12*J14</f>
        <v>5664087</v>
      </c>
      <c r="K17" s="49" t="n">
        <f aca="false">K12*K14</f>
        <v>7837830</v>
      </c>
      <c r="L17" s="49" t="n">
        <f aca="false">L12*L14</f>
        <v>10830105</v>
      </c>
      <c r="M17" s="49" t="n">
        <f aca="false">M12*M14</f>
        <v>14951781</v>
      </c>
      <c r="N17" s="45" t="n">
        <f aca="false">SUM(B17:M17)</f>
        <v>52116012</v>
      </c>
      <c r="O17" s="50"/>
    </row>
    <row r="19" customFormat="false" ht="15" hidden="false" customHeight="true" outlineLevel="0" collapsed="false">
      <c r="A19" s="46" t="s">
        <v>222</v>
      </c>
    </row>
    <row r="20" customFormat="false" ht="15" hidden="false" customHeight="true" outlineLevel="0" collapsed="false">
      <c r="A20" s="47" t="s">
        <v>223</v>
      </c>
      <c r="B20" s="51" t="s">
        <v>224</v>
      </c>
      <c r="C20" s="51" t="s">
        <v>224</v>
      </c>
      <c r="D20" s="51" t="s">
        <v>225</v>
      </c>
      <c r="E20" s="51" t="s">
        <v>225</v>
      </c>
      <c r="F20" s="51" t="s">
        <v>226</v>
      </c>
      <c r="G20" s="51" t="s">
        <v>227</v>
      </c>
      <c r="H20" s="51" t="s">
        <v>227</v>
      </c>
      <c r="I20" s="51" t="s">
        <v>228</v>
      </c>
      <c r="J20" s="51" t="s">
        <v>229</v>
      </c>
      <c r="K20" s="51" t="s">
        <v>230</v>
      </c>
      <c r="L20" s="51" t="s">
        <v>231</v>
      </c>
      <c r="M20" s="51" t="s">
        <v>232</v>
      </c>
    </row>
    <row r="21" customFormat="false" ht="15" hidden="false" customHeight="true" outlineLevel="0" collapsed="false">
      <c r="A21" s="47" t="s">
        <v>233</v>
      </c>
      <c r="B21" s="49" t="n">
        <f aca="false">ROUND(B12*B14*0.07,0)</f>
        <v>12703</v>
      </c>
      <c r="C21" s="49" t="n">
        <f aca="false">ROUND(C12*C14*0.07,0)</f>
        <v>27707</v>
      </c>
      <c r="D21" s="49" t="n">
        <f aca="false">ROUND(D12*D14*0.07,0)</f>
        <v>46486</v>
      </c>
      <c r="E21" s="49" t="n">
        <f aca="false">ROUND(E12*E14*0.065,0)</f>
        <v>65753</v>
      </c>
      <c r="F21" s="49" t="n">
        <f aca="false">ROUND(F12*F14*0.065,0)</f>
        <v>95618</v>
      </c>
      <c r="G21" s="49" t="n">
        <f aca="false">ROUND(G12*G14*0.06,0)</f>
        <v>125447</v>
      </c>
      <c r="H21" s="49" t="n">
        <f aca="false">ROUND(H12*H14*0.06,0)</f>
        <v>175949</v>
      </c>
      <c r="I21" s="49" t="n">
        <f aca="false">ROUND(I12*I14*0.055,0)</f>
        <v>224672</v>
      </c>
      <c r="J21" s="49" t="n">
        <f aca="false">ROUND(J12*J14*0.05,0)</f>
        <v>283204</v>
      </c>
      <c r="K21" s="49" t="n">
        <f aca="false">ROUND(K12*K14*0.05,0)</f>
        <v>391892</v>
      </c>
      <c r="L21" s="49" t="n">
        <f aca="false">ROUND(L12*L14*0.045,0)</f>
        <v>487355</v>
      </c>
      <c r="M21" s="49" t="n">
        <f aca="false">ROUND(M12*M14*0.04,0)</f>
        <v>598071</v>
      </c>
      <c r="N21" s="45" t="n">
        <f aca="false">SUM(B21:M21)</f>
        <v>2534857</v>
      </c>
    </row>
    <row r="22" customFormat="false" ht="15" hidden="false" customHeight="true" outlineLevel="0" collapsed="false">
      <c r="A22" s="47" t="s">
        <v>234</v>
      </c>
      <c r="B22" s="52" t="n">
        <v>75000</v>
      </c>
      <c r="C22" s="52" t="n">
        <v>75000</v>
      </c>
      <c r="D22" s="52" t="n">
        <v>100000</v>
      </c>
      <c r="E22" s="52" t="n">
        <v>100000</v>
      </c>
      <c r="F22" s="52" t="n">
        <v>125000</v>
      </c>
      <c r="G22" s="52" t="n">
        <v>150000</v>
      </c>
      <c r="H22" s="52" t="n">
        <v>150000</v>
      </c>
      <c r="I22" s="52" t="n">
        <v>175000</v>
      </c>
      <c r="J22" s="52" t="n">
        <v>200000</v>
      </c>
      <c r="K22" s="52" t="n">
        <v>225000</v>
      </c>
      <c r="L22" s="52" t="n">
        <v>250000</v>
      </c>
      <c r="M22" s="52" t="n">
        <v>300000</v>
      </c>
      <c r="N22" s="45" t="n">
        <f aca="false">SUM(B22:M22)</f>
        <v>1925000</v>
      </c>
    </row>
    <row r="23" customFormat="false" ht="15" hidden="false" customHeight="true" outlineLevel="0" collapsed="false">
      <c r="A23" s="47" t="s">
        <v>235</v>
      </c>
      <c r="B23" s="49" t="n">
        <f aca="false">ROUND(B12*2.5+B12*B14*0.09,0)</f>
        <v>20210</v>
      </c>
      <c r="C23" s="49" t="n">
        <f aca="false">ROUND(C12*2.5+C12*C14*0.09,0)</f>
        <v>44080</v>
      </c>
      <c r="D23" s="49" t="n">
        <f aca="false">ROUND(D12*3+D12*D14*0.09,0)</f>
        <v>76796</v>
      </c>
      <c r="E23" s="49" t="n">
        <f aca="false">ROUND(E12*3+E12*E14*0.105,0)</f>
        <v>132154</v>
      </c>
      <c r="F23" s="49" t="n">
        <f aca="false">ROUND(F12*3.5+F12*F14*0.105,0)</f>
        <v>198465</v>
      </c>
      <c r="G23" s="49" t="n">
        <f aca="false">ROUND(G12*4+G12*G14*0.12,0)</f>
        <v>322375</v>
      </c>
      <c r="H23" s="49" t="n">
        <f aca="false">ROUND(H12*4+H12*H14*0.12,0)</f>
        <v>452155</v>
      </c>
      <c r="I23" s="49" t="n">
        <f aca="false">ROUND(I12*4.5+I12*I14*0.135,0)</f>
        <v>708580</v>
      </c>
      <c r="J23" s="49" t="n">
        <f aca="false">ROUND(J12*5+J12*J14*0.14,0)</f>
        <v>1035027</v>
      </c>
      <c r="K23" s="49" t="n">
        <f aca="false">ROUND(K12*5+K12*K14*0.14,0)</f>
        <v>1432246</v>
      </c>
      <c r="L23" s="49" t="n">
        <f aca="false">ROUND(L12*5.5+L12*L14*0.155,0)</f>
        <v>2187774</v>
      </c>
      <c r="M23" s="49" t="n">
        <f aca="false">ROUND(M12*6+M12*M14*0.16,0)</f>
        <v>3159043</v>
      </c>
      <c r="N23" s="45" t="n">
        <f aca="false">SUM(B23:M23)</f>
        <v>9768905</v>
      </c>
    </row>
    <row r="24" customFormat="false" ht="15" hidden="false" customHeight="true" outlineLevel="0" collapsed="false">
      <c r="A24" s="47" t="s">
        <v>236</v>
      </c>
      <c r="B24" s="52" t="n">
        <v>18000</v>
      </c>
      <c r="C24" s="52" t="n">
        <v>18000</v>
      </c>
      <c r="D24" s="52" t="n">
        <v>24000</v>
      </c>
      <c r="E24" s="52" t="n">
        <v>24000</v>
      </c>
      <c r="F24" s="52" t="n">
        <v>30000</v>
      </c>
      <c r="G24" s="52" t="n">
        <v>36000</v>
      </c>
      <c r="H24" s="52" t="n">
        <v>36000</v>
      </c>
      <c r="I24" s="52" t="n">
        <v>42000</v>
      </c>
      <c r="J24" s="52" t="n">
        <v>48000</v>
      </c>
      <c r="K24" s="52" t="n">
        <v>54000</v>
      </c>
      <c r="L24" s="52" t="n">
        <v>60000</v>
      </c>
      <c r="M24" s="52" t="n">
        <v>72000</v>
      </c>
      <c r="N24" s="45" t="n">
        <f aca="false">SUM(B24:M24)</f>
        <v>462000</v>
      </c>
    </row>
    <row r="25" customFormat="false" ht="15" hidden="false" customHeight="true" outlineLevel="0" collapsed="false">
      <c r="A25" s="47" t="s">
        <v>237</v>
      </c>
      <c r="B25" s="52" t="n">
        <v>24000</v>
      </c>
      <c r="C25" s="52" t="n">
        <v>24000</v>
      </c>
      <c r="D25" s="52" t="n">
        <v>36000</v>
      </c>
      <c r="E25" s="52" t="n">
        <v>36000</v>
      </c>
      <c r="F25" s="52" t="n">
        <v>48000</v>
      </c>
      <c r="G25" s="52" t="n">
        <v>60000</v>
      </c>
      <c r="H25" s="52" t="n">
        <v>60000</v>
      </c>
      <c r="I25" s="52" t="n">
        <v>72000</v>
      </c>
      <c r="J25" s="52" t="n">
        <v>84000</v>
      </c>
      <c r="K25" s="52" t="n">
        <v>96000</v>
      </c>
      <c r="L25" s="52" t="n">
        <v>108000</v>
      </c>
      <c r="M25" s="52" t="n">
        <v>120000</v>
      </c>
      <c r="N25" s="45" t="n">
        <f aca="false">SUM(B25:M25)</f>
        <v>768000</v>
      </c>
    </row>
    <row r="26" customFormat="false" ht="15" hidden="false" customHeight="true" outlineLevel="0" collapsed="false">
      <c r="A26" s="47" t="s">
        <v>238</v>
      </c>
      <c r="B26" s="48" t="n">
        <f aca="false">ROUND(B7*Varsayimlar!B54*29,0)</f>
        <v>1450</v>
      </c>
      <c r="C26" s="48" t="n">
        <f aca="false">ROUND(C7*Varsayimlar!B54*29,0)</f>
        <v>3170</v>
      </c>
      <c r="D26" s="48" t="n">
        <f aca="false">ROUND(D7*Varsayimlar!B54*29,0)</f>
        <v>5317</v>
      </c>
      <c r="E26" s="48" t="n">
        <f aca="false">ROUND(E7*Varsayimlar!B54*29,0)</f>
        <v>8095</v>
      </c>
      <c r="F26" s="48" t="n">
        <f aca="false">ROUND(F7*Varsayimlar!B54*29,0)</f>
        <v>11780</v>
      </c>
      <c r="G26" s="48" t="n">
        <f aca="false">ROUND(G7*Varsayimlar!B54*29,0)</f>
        <v>16742</v>
      </c>
      <c r="H26" s="48" t="n">
        <f aca="false">ROUND(H7*Varsayimlar!B54*29,0)</f>
        <v>23490</v>
      </c>
      <c r="I26" s="48" t="n">
        <f aca="false">ROUND(I7*Varsayimlar!B54*29,0)</f>
        <v>32718</v>
      </c>
      <c r="J26" s="48" t="n">
        <f aca="false">ROUND(J7*Varsayimlar!B54*29,0)</f>
        <v>45381</v>
      </c>
      <c r="K26" s="48" t="n">
        <f aca="false">ROUND(K7*Varsayimlar!B54*29,0)</f>
        <v>62793</v>
      </c>
      <c r="L26" s="48" t="n">
        <f aca="false">ROUND(L7*Varsayimlar!B54*29,0)</f>
        <v>86762</v>
      </c>
      <c r="M26" s="48" t="n">
        <f aca="false">ROUND(M7*Varsayimlar!B54*29,0)</f>
        <v>119783</v>
      </c>
      <c r="N26" s="45" t="n">
        <f aca="false">SUM(B26:M26)</f>
        <v>417481</v>
      </c>
    </row>
    <row r="27" customFormat="false" ht="15" hidden="false" customHeight="true" outlineLevel="0" collapsed="false">
      <c r="A27" s="47" t="s">
        <v>239</v>
      </c>
      <c r="B27" s="52" t="n">
        <v>0</v>
      </c>
      <c r="C27" s="52" t="n">
        <v>0</v>
      </c>
      <c r="D27" s="52" t="n">
        <v>2500</v>
      </c>
      <c r="E27" s="52" t="n">
        <v>5000</v>
      </c>
      <c r="F27" s="52" t="n">
        <v>7500</v>
      </c>
      <c r="G27" s="52" t="n">
        <v>12500</v>
      </c>
      <c r="H27" s="52" t="n">
        <v>15000</v>
      </c>
      <c r="I27" s="52" t="n">
        <v>20000</v>
      </c>
      <c r="J27" s="52" t="n">
        <v>25000</v>
      </c>
      <c r="K27" s="52" t="n">
        <v>30000</v>
      </c>
      <c r="L27" s="52" t="n">
        <v>32500</v>
      </c>
      <c r="M27" s="52" t="n">
        <v>37500</v>
      </c>
      <c r="N27" s="45" t="n">
        <f aca="false">SUM(B27:M27)</f>
        <v>187500</v>
      </c>
    </row>
    <row r="28" customFormat="false" ht="15" hidden="false" customHeight="true" outlineLevel="0" collapsed="false">
      <c r="A28" s="47" t="s">
        <v>240</v>
      </c>
      <c r="B28" s="52" t="n">
        <f aca="false">0*Varsayimlar!B57*B14*0.05+0*15000</f>
        <v>0</v>
      </c>
      <c r="C28" s="52" t="n">
        <f aca="false">0*Varsayimlar!B57*C14*0.05+0*15000</f>
        <v>0</v>
      </c>
      <c r="D28" s="49" t="n">
        <f aca="false">1*Varsayimlar!B57*D14*0.05+1*15000</f>
        <v>15438.75</v>
      </c>
      <c r="E28" s="49" t="n">
        <f aca="false">1*Varsayimlar!B57*E14*0.05+1*15000</f>
        <v>15438.75</v>
      </c>
      <c r="F28" s="49" t="n">
        <f aca="false">2*Varsayimlar!B57*F14*0.05+2*15000</f>
        <v>30877.5</v>
      </c>
      <c r="G28" s="49" t="n">
        <f aca="false">3*Varsayimlar!B57*G14*0.05+3*15000</f>
        <v>46316.25</v>
      </c>
      <c r="H28" s="49" t="n">
        <f aca="false">3*Varsayimlar!B57*H14*0.05+3*15000</f>
        <v>46316.25</v>
      </c>
      <c r="I28" s="49" t="n">
        <f aca="false">4*Varsayimlar!B57*I14*0.05+4*15000</f>
        <v>61755</v>
      </c>
      <c r="J28" s="49" t="n">
        <f aca="false">5*Varsayimlar!B57*J14*0.05+5*15000</f>
        <v>77193.75</v>
      </c>
      <c r="K28" s="49" t="n">
        <f aca="false">6*Varsayimlar!B57*K14*0.05+6*15000</f>
        <v>92632.5</v>
      </c>
      <c r="L28" s="49" t="n">
        <f aca="false">7*Varsayimlar!B57*L14*0.05+7*15000</f>
        <v>108071.25</v>
      </c>
      <c r="M28" s="49" t="n">
        <f aca="false">8*Varsayimlar!B57*M14*0.05+8*15000</f>
        <v>123510</v>
      </c>
      <c r="N28" s="45" t="n">
        <f aca="false">SUM(B28:M28)</f>
        <v>617550</v>
      </c>
    </row>
    <row r="29" customFormat="false" ht="15" hidden="false" customHeight="true" outlineLevel="0" collapsed="false">
      <c r="A29" s="53" t="s">
        <v>241</v>
      </c>
      <c r="B29" s="45" t="n">
        <f aca="false">SUM(B21:B28)</f>
        <v>151363</v>
      </c>
      <c r="C29" s="45" t="n">
        <f aca="false">SUM(C21:C28)</f>
        <v>191957</v>
      </c>
      <c r="D29" s="45" t="n">
        <f aca="false">SUM(D21:D28)</f>
        <v>306537.75</v>
      </c>
      <c r="E29" s="45" t="n">
        <f aca="false">SUM(E21:E28)</f>
        <v>386440.75</v>
      </c>
      <c r="F29" s="45" t="n">
        <f aca="false">SUM(F21:F28)</f>
        <v>547240.5</v>
      </c>
      <c r="G29" s="45" t="n">
        <f aca="false">SUM(G21:G28)</f>
        <v>769380.25</v>
      </c>
      <c r="H29" s="45" t="n">
        <f aca="false">SUM(H21:H28)</f>
        <v>958910.25</v>
      </c>
      <c r="I29" s="45" t="n">
        <f aca="false">SUM(I21:I28)</f>
        <v>1336725</v>
      </c>
      <c r="J29" s="45" t="n">
        <f aca="false">SUM(J21:J28)</f>
        <v>1797805.75</v>
      </c>
      <c r="K29" s="45" t="n">
        <f aca="false">SUM(K21:K28)</f>
        <v>2384563.5</v>
      </c>
      <c r="L29" s="45" t="n">
        <f aca="false">SUM(L21:L28)</f>
        <v>3320462.25</v>
      </c>
      <c r="M29" s="45" t="n">
        <f aca="false">SUM(M21:M28)</f>
        <v>4529907</v>
      </c>
      <c r="N29" s="45" t="n">
        <f aca="false">SUM(N21:N28)</f>
        <v>16681293</v>
      </c>
      <c r="O29" s="54"/>
    </row>
    <row r="30" customFormat="false" ht="15" hidden="false" customHeight="true" outlineLevel="0" collapsed="false">
      <c r="N30" s="55" t="n">
        <f aca="false">N29/42</f>
        <v>397173.642857143</v>
      </c>
    </row>
    <row r="31" customFormat="false" ht="15" hidden="false" customHeight="true" outlineLevel="0" collapsed="false">
      <c r="A31" s="46" t="s">
        <v>242</v>
      </c>
    </row>
    <row r="32" customFormat="false" ht="15" hidden="false" customHeight="true" outlineLevel="0" collapsed="false">
      <c r="A32" s="47" t="s">
        <v>243</v>
      </c>
      <c r="B32" s="56" t="n">
        <f aca="false">IF(B17=0,0,B21/B17)</f>
        <v>0.0700017082995806</v>
      </c>
      <c r="C32" s="56" t="n">
        <f aca="false">IF(C17=0,0,C21/C17)</f>
        <v>0.070000581085417</v>
      </c>
      <c r="D32" s="56" t="n">
        <f aca="false">IF(D17=0,0,D21/D17)</f>
        <v>0.0699993374411979</v>
      </c>
      <c r="E32" s="56" t="n">
        <f aca="false">IF(E17=0,0,E21/E17)</f>
        <v>0.0650001680536032</v>
      </c>
      <c r="F32" s="56" t="n">
        <f aca="false">IF(F17=0,0,F21/F17)</f>
        <v>0.0650002277298865</v>
      </c>
      <c r="G32" s="56" t="n">
        <f aca="false">IF(G17=0,0,G21/G17)</f>
        <v>0.0599998086847555</v>
      </c>
      <c r="H32" s="56" t="n">
        <f aca="false">IF(H17=0,0,H21/H17)</f>
        <v>0.0599999045179384</v>
      </c>
      <c r="I32" s="56" t="n">
        <f aca="false">IF(I17=0,0,I21/I17)</f>
        <v>0.0550001003687204</v>
      </c>
      <c r="J32" s="56" t="n">
        <f aca="false">IF(J17=0,0,J21/J17)</f>
        <v>0.0499999382071638</v>
      </c>
      <c r="K32" s="56" t="n">
        <f aca="false">IF(K17=0,0,K21/K17)</f>
        <v>0.0500000637931672</v>
      </c>
      <c r="L32" s="56" t="n">
        <f aca="false">IF(L17=0,0,L21/L17)</f>
        <v>0.0450000253921823</v>
      </c>
      <c r="M32" s="56" t="n">
        <f aca="false">IF(M17=0,0,M21/M17)</f>
        <v>0.0399999839484005</v>
      </c>
    </row>
    <row r="33" customFormat="false" ht="15" hidden="false" customHeight="true" outlineLevel="0" collapsed="false">
      <c r="A33" s="47" t="s">
        <v>244</v>
      </c>
      <c r="B33" s="57" t="n">
        <v>2.5</v>
      </c>
      <c r="C33" s="57" t="n">
        <v>2.5</v>
      </c>
      <c r="D33" s="57" t="n">
        <v>3</v>
      </c>
      <c r="E33" s="57" t="n">
        <v>3</v>
      </c>
      <c r="F33" s="57" t="n">
        <v>3.5</v>
      </c>
      <c r="G33" s="57" t="n">
        <v>4</v>
      </c>
      <c r="H33" s="57" t="n">
        <v>4</v>
      </c>
      <c r="I33" s="57" t="n">
        <v>4.5</v>
      </c>
      <c r="J33" s="57" t="n">
        <v>5</v>
      </c>
      <c r="K33" s="57" t="n">
        <v>5</v>
      </c>
      <c r="L33" s="57" t="n">
        <v>5.5</v>
      </c>
      <c r="M33" s="57" t="n">
        <v>6</v>
      </c>
    </row>
    <row r="34" customFormat="false" ht="15" hidden="false" customHeight="true" outlineLevel="0" collapsed="false">
      <c r="A34" s="47" t="s">
        <v>245</v>
      </c>
      <c r="B34" s="58" t="n">
        <v>0.09</v>
      </c>
      <c r="C34" s="58" t="n">
        <v>0.09</v>
      </c>
      <c r="D34" s="58" t="n">
        <v>0.09</v>
      </c>
      <c r="E34" s="58" t="n">
        <v>0.105</v>
      </c>
      <c r="F34" s="58" t="n">
        <v>0.105</v>
      </c>
      <c r="G34" s="58" t="n">
        <v>0.12</v>
      </c>
      <c r="H34" s="58" t="n">
        <v>0.12</v>
      </c>
      <c r="I34" s="58" t="n">
        <v>0.135</v>
      </c>
      <c r="J34" s="58" t="n">
        <v>0.14</v>
      </c>
      <c r="K34" s="58" t="n">
        <v>0.14</v>
      </c>
      <c r="L34" s="58" t="n">
        <v>0.155</v>
      </c>
      <c r="M34" s="58" t="n">
        <v>0.16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2" activeCellId="0" sqref="A32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4" min="2" style="1" width="15"/>
  </cols>
  <sheetData>
    <row r="1" customFormat="false" ht="17.25" hidden="false" customHeight="true" outlineLevel="0" collapsed="false">
      <c r="A1" s="43" t="s">
        <v>246</v>
      </c>
    </row>
    <row r="2" customFormat="false" ht="15" hidden="false" customHeight="true" outlineLevel="0" collapsed="false">
      <c r="A2" s="44" t="s">
        <v>247</v>
      </c>
    </row>
    <row r="3" customFormat="false" ht="15" hidden="false" customHeight="true" outlineLevel="0" collapsed="false">
      <c r="B3" s="45" t="s">
        <v>196</v>
      </c>
      <c r="C3" s="45" t="s">
        <v>197</v>
      </c>
      <c r="D3" s="45" t="s">
        <v>198</v>
      </c>
      <c r="E3" s="45" t="s">
        <v>199</v>
      </c>
      <c r="F3" s="45" t="s">
        <v>200</v>
      </c>
      <c r="G3" s="45" t="s">
        <v>201</v>
      </c>
      <c r="H3" s="45" t="s">
        <v>202</v>
      </c>
      <c r="I3" s="45" t="s">
        <v>203</v>
      </c>
      <c r="J3" s="45" t="s">
        <v>204</v>
      </c>
      <c r="K3" s="45" t="s">
        <v>205</v>
      </c>
      <c r="L3" s="45" t="s">
        <v>206</v>
      </c>
      <c r="M3" s="45" t="s">
        <v>207</v>
      </c>
      <c r="N3" s="45" t="s">
        <v>208</v>
      </c>
    </row>
    <row r="4" customFormat="false" ht="15" hidden="false" customHeight="true" outlineLevel="0" collapsed="false">
      <c r="A4" s="46" t="s">
        <v>209</v>
      </c>
    </row>
    <row r="5" customFormat="false" ht="15" hidden="false" customHeight="true" outlineLevel="0" collapsed="false">
      <c r="A5" s="47" t="s">
        <v>210</v>
      </c>
      <c r="B5" s="48" t="n">
        <f aca="false">Varsayimlar!C11</f>
        <v>5000</v>
      </c>
      <c r="C5" s="49" t="n">
        <f aca="false">ROUND(B5*(1+Varsayimlar!C12)+B11*Varsayimlar!C13,0)</f>
        <v>7056</v>
      </c>
      <c r="D5" s="49" t="n">
        <f aca="false">ROUND(C5*(1+Varsayimlar!C12)+C11*Varsayimlar!C13,0)</f>
        <v>10676</v>
      </c>
      <c r="E5" s="49" t="n">
        <f aca="false">ROUND(D5*(1+Varsayimlar!C12)+D11*Varsayimlar!C13,0)</f>
        <v>16760</v>
      </c>
      <c r="F5" s="49" t="n">
        <f aca="false">ROUND(E5*(1+Varsayimlar!C12)+E11*Varsayimlar!C13,0)</f>
        <v>26795</v>
      </c>
      <c r="G5" s="49" t="n">
        <f aca="false">ROUND(F5*(1+Varsayimlar!C12)+F11*Varsayimlar!C13,0)</f>
        <v>43208</v>
      </c>
      <c r="H5" s="49" t="n">
        <f aca="false">ROUND(G5*(1+Varsayimlar!C12)+G11*Varsayimlar!C13,0)</f>
        <v>69947</v>
      </c>
      <c r="I5" s="49" t="n">
        <f aca="false">ROUND(H5*(1+Varsayimlar!C12)+H11*Varsayimlar!C13,0)</f>
        <v>113441</v>
      </c>
      <c r="J5" s="49" t="n">
        <f aca="false">ROUND(I5*(1+Varsayimlar!C12)+I11*Varsayimlar!C13,0)</f>
        <v>184130</v>
      </c>
      <c r="K5" s="49" t="n">
        <f aca="false">ROUND(J5*(1+Varsayimlar!C12)+J11*Varsayimlar!C13,0)</f>
        <v>298978</v>
      </c>
      <c r="L5" s="49" t="n">
        <f aca="false">ROUND(K5*(1+Varsayimlar!C12)+K11*Varsayimlar!C13,0)</f>
        <v>485544</v>
      </c>
      <c r="M5" s="49" t="n">
        <f aca="false">ROUND(L5*(1+Varsayimlar!C12)+L11*Varsayimlar!C13,0)</f>
        <v>788589</v>
      </c>
      <c r="N5" s="45" t="n">
        <f aca="false">SUM(B5:M5)</f>
        <v>2050124</v>
      </c>
    </row>
    <row r="6" customFormat="false" ht="15" hidden="false" customHeight="true" outlineLevel="0" collapsed="false">
      <c r="A6" s="47" t="s">
        <v>211</v>
      </c>
      <c r="B6" s="49" t="n">
        <f aca="false">B5</f>
        <v>5000</v>
      </c>
      <c r="C6" s="49" t="n">
        <f aca="false">B6+C5</f>
        <v>12056</v>
      </c>
      <c r="D6" s="49" t="n">
        <f aca="false">C6+D5</f>
        <v>22732</v>
      </c>
      <c r="E6" s="49" t="n">
        <f aca="false">D6+E5</f>
        <v>39492</v>
      </c>
      <c r="F6" s="49" t="n">
        <f aca="false">E6+F5</f>
        <v>66287</v>
      </c>
      <c r="G6" s="49" t="n">
        <f aca="false">F6+G5</f>
        <v>109495</v>
      </c>
      <c r="H6" s="49" t="n">
        <f aca="false">G6+H5</f>
        <v>179442</v>
      </c>
      <c r="I6" s="49" t="n">
        <f aca="false">H6+I5</f>
        <v>292883</v>
      </c>
      <c r="J6" s="49" t="n">
        <f aca="false">I6+J5</f>
        <v>477013</v>
      </c>
      <c r="K6" s="49" t="n">
        <f aca="false">J6+K5</f>
        <v>775991</v>
      </c>
      <c r="L6" s="49" t="n">
        <f aca="false">K6+L5</f>
        <v>1261535</v>
      </c>
      <c r="M6" s="49" t="n">
        <f aca="false">L6+M5</f>
        <v>2050124</v>
      </c>
      <c r="N6" s="45" t="n">
        <f aca="false">M6</f>
        <v>2050124</v>
      </c>
    </row>
    <row r="7" customFormat="false" ht="15" hidden="false" customHeight="true" outlineLevel="0" collapsed="false">
      <c r="A7" s="47" t="s">
        <v>212</v>
      </c>
      <c r="B7" s="48" t="n">
        <f aca="false">ROUND(B6*Varsayimlar!C14,0)</f>
        <v>3000</v>
      </c>
      <c r="C7" s="49" t="n">
        <f aca="false">ROUND(B7*(1-Varsayimlar!C19)+C5*Varsayimlar!C14,0)</f>
        <v>7084</v>
      </c>
      <c r="D7" s="49" t="n">
        <f aca="false">ROUND(C7*(1-Varsayimlar!C19)+D5*Varsayimlar!C14,0)</f>
        <v>13135</v>
      </c>
      <c r="E7" s="49" t="n">
        <f aca="false">ROUND(D7*(1-Varsayimlar!C19)+E5*Varsayimlar!C14,0)</f>
        <v>22534</v>
      </c>
      <c r="F7" s="49" t="n">
        <f aca="false">ROUND(E7*(1-Varsayimlar!C19)+F5*Varsayimlar!C14,0)</f>
        <v>37484</v>
      </c>
      <c r="G7" s="49" t="n">
        <f aca="false">ROUND(F7*(1-Varsayimlar!C19)+G5*Varsayimlar!C14,0)</f>
        <v>61535</v>
      </c>
      <c r="H7" s="49" t="n">
        <f aca="false">ROUND(G7*(1-Varsayimlar!C19)+H5*Varsayimlar!C14,0)</f>
        <v>100426</v>
      </c>
      <c r="I7" s="49" t="n">
        <f aca="false">ROUND(H7*(1-Varsayimlar!C19)+I5*Varsayimlar!C14,0)</f>
        <v>163469</v>
      </c>
      <c r="J7" s="49" t="n">
        <f aca="false">ROUND(I7*(1-Varsayimlar!C19)+J5*Varsayimlar!C14,0)</f>
        <v>265774</v>
      </c>
      <c r="K7" s="49" t="n">
        <f aca="false">ROUND(J7*(1-Varsayimlar!C19)+K5*Varsayimlar!C14,0)</f>
        <v>431872</v>
      </c>
      <c r="L7" s="49" t="n">
        <f aca="false">ROUND(K7*(1-Varsayimlar!C19)+L5*Varsayimlar!C14,0)</f>
        <v>701605</v>
      </c>
      <c r="M7" s="49" t="n">
        <f aca="false">ROUND(L7*(1-Varsayimlar!C19)+M5*Varsayimlar!C14,0)</f>
        <v>1139678</v>
      </c>
      <c r="N7" s="45" t="n">
        <f aca="false">M7</f>
        <v>1139678</v>
      </c>
    </row>
    <row r="8" customFormat="false" ht="15" hidden="false" customHeight="true" outlineLevel="0" collapsed="false">
      <c r="A8" s="47" t="s">
        <v>213</v>
      </c>
      <c r="B8" s="49" t="n">
        <f aca="false">ROUND(B7*Varsayimlar!C15,0)</f>
        <v>600</v>
      </c>
      <c r="C8" s="49" t="n">
        <f aca="false">ROUND(C7*Varsayimlar!C15,0)</f>
        <v>1417</v>
      </c>
      <c r="D8" s="49" t="n">
        <f aca="false">ROUND(D7*Varsayimlar!C15,0)</f>
        <v>2627</v>
      </c>
      <c r="E8" s="49" t="n">
        <f aca="false">ROUND(E7*Varsayimlar!C15,0)</f>
        <v>4507</v>
      </c>
      <c r="F8" s="49" t="n">
        <f aca="false">ROUND(F7*Varsayimlar!C15,0)</f>
        <v>7497</v>
      </c>
      <c r="G8" s="49" t="n">
        <f aca="false">ROUND(G7*Varsayimlar!C15,0)</f>
        <v>12307</v>
      </c>
      <c r="H8" s="49" t="n">
        <f aca="false">ROUND(H7*Varsayimlar!C15,0)</f>
        <v>20085</v>
      </c>
      <c r="I8" s="49" t="n">
        <f aca="false">ROUND(I7*Varsayimlar!C15,0)</f>
        <v>32694</v>
      </c>
      <c r="J8" s="49" t="n">
        <f aca="false">ROUND(J7*Varsayimlar!C15,0)</f>
        <v>53155</v>
      </c>
      <c r="K8" s="49" t="n">
        <f aca="false">ROUND(K7*Varsayimlar!C15,0)</f>
        <v>86374</v>
      </c>
      <c r="L8" s="49" t="n">
        <f aca="false">ROUND(L7*Varsayimlar!C15,0)</f>
        <v>140321</v>
      </c>
      <c r="M8" s="49" t="n">
        <f aca="false">ROUND(M7*Varsayimlar!C15,0)</f>
        <v>227936</v>
      </c>
      <c r="N8" s="45" t="n">
        <f aca="false">M8</f>
        <v>227936</v>
      </c>
    </row>
    <row r="9" customFormat="false" ht="15" hidden="false" customHeight="true" outlineLevel="0" collapsed="false">
      <c r="A9" s="46" t="s">
        <v>214</v>
      </c>
    </row>
    <row r="10" customFormat="false" ht="15" hidden="false" customHeight="true" outlineLevel="0" collapsed="false">
      <c r="A10" s="47" t="s">
        <v>215</v>
      </c>
      <c r="B10" s="49" t="n">
        <f aca="false">ROUND(B8*Varsayimlar!C16,0)</f>
        <v>210</v>
      </c>
      <c r="C10" s="49" t="n">
        <f aca="false">ROUND(C8*Varsayimlar!C16,0)</f>
        <v>496</v>
      </c>
      <c r="D10" s="49" t="n">
        <f aca="false">ROUND(D8*Varsayimlar!C16,0)</f>
        <v>919</v>
      </c>
      <c r="E10" s="49" t="n">
        <f aca="false">ROUND(E8*Varsayimlar!C16,0)</f>
        <v>1577</v>
      </c>
      <c r="F10" s="49" t="n">
        <f aca="false">ROUND(F8*Varsayimlar!C16,0)</f>
        <v>2624</v>
      </c>
      <c r="G10" s="49" t="n">
        <f aca="false">ROUND(G8*Varsayimlar!C16,0)</f>
        <v>4307</v>
      </c>
      <c r="H10" s="49" t="n">
        <f aca="false">ROUND(H8*Varsayimlar!C16,0)</f>
        <v>7030</v>
      </c>
      <c r="I10" s="49" t="n">
        <f aca="false">ROUND(I8*Varsayimlar!C16,0)</f>
        <v>11443</v>
      </c>
      <c r="J10" s="49" t="n">
        <f aca="false">ROUND(J8*Varsayimlar!C16,0)</f>
        <v>18604</v>
      </c>
      <c r="K10" s="49" t="n">
        <f aca="false">ROUND(K8*Varsayimlar!C16,0)</f>
        <v>30231</v>
      </c>
      <c r="L10" s="49" t="n">
        <f aca="false">ROUND(L8*Varsayimlar!C16,0)</f>
        <v>49112</v>
      </c>
      <c r="M10" s="49" t="n">
        <f aca="false">ROUND(M8*Varsayimlar!C16,0)</f>
        <v>79778</v>
      </c>
      <c r="N10" s="45" t="n">
        <f aca="false">ROUND(SUM(B10:M10)/12,0)</f>
        <v>17194</v>
      </c>
    </row>
    <row r="11" customFormat="false" ht="15" hidden="false" customHeight="true" outlineLevel="0" collapsed="false">
      <c r="A11" s="47" t="s">
        <v>216</v>
      </c>
      <c r="B11" s="49" t="n">
        <f aca="false">B10*Varsayimlar!C17</f>
        <v>6300</v>
      </c>
      <c r="C11" s="49" t="n">
        <f aca="false">C10*Varsayimlar!C17</f>
        <v>14880</v>
      </c>
      <c r="D11" s="49" t="n">
        <f aca="false">D10*Varsayimlar!C17</f>
        <v>27570</v>
      </c>
      <c r="E11" s="49" t="n">
        <f aca="false">E10*Varsayimlar!C17</f>
        <v>47310</v>
      </c>
      <c r="F11" s="49" t="n">
        <f aca="false">F10*Varsayimlar!C17</f>
        <v>78720</v>
      </c>
      <c r="G11" s="49" t="n">
        <f aca="false">G10*Varsayimlar!C17</f>
        <v>129210</v>
      </c>
      <c r="H11" s="49" t="n">
        <f aca="false">H10*Varsayimlar!C17</f>
        <v>210900</v>
      </c>
      <c r="I11" s="49" t="n">
        <f aca="false">I10*Varsayimlar!C17</f>
        <v>343290</v>
      </c>
      <c r="J11" s="49" t="n">
        <f aca="false">J10*Varsayimlar!C17</f>
        <v>558120</v>
      </c>
      <c r="K11" s="49" t="n">
        <f aca="false">K10*Varsayimlar!C17</f>
        <v>906930</v>
      </c>
      <c r="L11" s="49" t="n">
        <f aca="false">L10*Varsayimlar!C17</f>
        <v>1473360</v>
      </c>
      <c r="M11" s="49" t="n">
        <f aca="false">M10*Varsayimlar!C17</f>
        <v>2393340</v>
      </c>
      <c r="N11" s="45" t="n">
        <f aca="false">SUM(B11:M11)</f>
        <v>6189930</v>
      </c>
    </row>
    <row r="12" customFormat="false" ht="15" hidden="false" customHeight="true" outlineLevel="0" collapsed="false">
      <c r="A12" s="47" t="s">
        <v>217</v>
      </c>
      <c r="B12" s="49" t="n">
        <f aca="false">ROUND(B11*Varsayimlar!C18,0)</f>
        <v>4095</v>
      </c>
      <c r="C12" s="49" t="n">
        <f aca="false">ROUND(C11*Varsayimlar!C18,0)</f>
        <v>9672</v>
      </c>
      <c r="D12" s="49" t="n">
        <f aca="false">ROUND(D11*Varsayimlar!C18,0)</f>
        <v>17921</v>
      </c>
      <c r="E12" s="49" t="n">
        <f aca="false">ROUND(E11*Varsayimlar!C18,0)</f>
        <v>30752</v>
      </c>
      <c r="F12" s="49" t="n">
        <f aca="false">ROUND(F11*Varsayimlar!C18,0)</f>
        <v>51168</v>
      </c>
      <c r="G12" s="49" t="n">
        <f aca="false">ROUND(G11*Varsayimlar!C18,0)</f>
        <v>83987</v>
      </c>
      <c r="H12" s="49" t="n">
        <f aca="false">ROUND(H11*Varsayimlar!C18,0)</f>
        <v>137085</v>
      </c>
      <c r="I12" s="49" t="n">
        <f aca="false">ROUND(I11*Varsayimlar!C18,0)</f>
        <v>223139</v>
      </c>
      <c r="J12" s="49" t="n">
        <f aca="false">ROUND(J11*Varsayimlar!C18,0)</f>
        <v>362778</v>
      </c>
      <c r="K12" s="49" t="n">
        <f aca="false">ROUND(K11*Varsayimlar!C18,0)</f>
        <v>589505</v>
      </c>
      <c r="L12" s="49" t="n">
        <f aca="false">ROUND(L11*Varsayimlar!C18,0)</f>
        <v>957684</v>
      </c>
      <c r="M12" s="49" t="n">
        <f aca="false">ROUND(M11*Varsayimlar!C18,0)</f>
        <v>1555671</v>
      </c>
      <c r="N12" s="45" t="n">
        <f aca="false">SUM(B12:M12)</f>
        <v>4023457</v>
      </c>
      <c r="O12" s="1" t="n">
        <f aca="false">N12/M7*M14</f>
        <v>413.050413362371</v>
      </c>
    </row>
    <row r="13" customFormat="false" ht="15" hidden="false" customHeight="true" outlineLevel="0" collapsed="false">
      <c r="A13" s="47" t="s">
        <v>218</v>
      </c>
      <c r="B13" s="49" t="n">
        <f aca="false">B11-B12</f>
        <v>2205</v>
      </c>
      <c r="C13" s="49" t="n">
        <f aca="false">C11-C12</f>
        <v>5208</v>
      </c>
      <c r="D13" s="49" t="n">
        <f aca="false">D11-D12</f>
        <v>9649</v>
      </c>
      <c r="E13" s="49" t="n">
        <f aca="false">E11-E12</f>
        <v>16558</v>
      </c>
      <c r="F13" s="49" t="n">
        <f aca="false">F11-F12</f>
        <v>27552</v>
      </c>
      <c r="G13" s="49" t="n">
        <f aca="false">G11-G12</f>
        <v>45223</v>
      </c>
      <c r="H13" s="49" t="n">
        <f aca="false">H11-H12</f>
        <v>73815</v>
      </c>
      <c r="I13" s="49" t="n">
        <f aca="false">I11-I12</f>
        <v>120151</v>
      </c>
      <c r="J13" s="49" t="n">
        <f aca="false">J11-J12</f>
        <v>195342</v>
      </c>
      <c r="K13" s="49" t="n">
        <f aca="false">K11-K12</f>
        <v>317425</v>
      </c>
      <c r="L13" s="49" t="n">
        <f aca="false">L11-L12</f>
        <v>515676</v>
      </c>
      <c r="M13" s="49" t="n">
        <f aca="false">M11-M12</f>
        <v>837669</v>
      </c>
      <c r="N13" s="45" t="n">
        <f aca="false">SUM(B13:M13)</f>
        <v>2166473</v>
      </c>
      <c r="O13" s="50"/>
    </row>
    <row r="14" customFormat="false" ht="15" hidden="false" customHeight="true" outlineLevel="0" collapsed="false">
      <c r="A14" s="47" t="s">
        <v>219</v>
      </c>
      <c r="B14" s="48" t="n">
        <f aca="false">Varsayimlar!D30</f>
        <v>117</v>
      </c>
      <c r="C14" s="48" t="n">
        <f aca="false">Varsayimlar!D30</f>
        <v>117</v>
      </c>
      <c r="D14" s="48" t="n">
        <f aca="false">Varsayimlar!D30</f>
        <v>117</v>
      </c>
      <c r="E14" s="48" t="n">
        <f aca="false">Varsayimlar!D30</f>
        <v>117</v>
      </c>
      <c r="F14" s="48" t="n">
        <f aca="false">Varsayimlar!D30</f>
        <v>117</v>
      </c>
      <c r="G14" s="48" t="n">
        <f aca="false">Varsayimlar!D30</f>
        <v>117</v>
      </c>
      <c r="H14" s="48" t="n">
        <f aca="false">Varsayimlar!D30</f>
        <v>117</v>
      </c>
      <c r="I14" s="48" t="n">
        <f aca="false">Varsayimlar!D30</f>
        <v>117</v>
      </c>
      <c r="J14" s="48" t="n">
        <f aca="false">Varsayimlar!D30</f>
        <v>117</v>
      </c>
      <c r="K14" s="48" t="n">
        <f aca="false">Varsayimlar!D30</f>
        <v>117</v>
      </c>
      <c r="L14" s="48" t="n">
        <f aca="false">Varsayimlar!D30</f>
        <v>117</v>
      </c>
      <c r="M14" s="48" t="n">
        <f aca="false">Varsayimlar!D30</f>
        <v>117</v>
      </c>
    </row>
    <row r="16" customFormat="false" ht="15" hidden="false" customHeight="true" outlineLevel="0" collapsed="false">
      <c r="A16" s="46" t="s">
        <v>220</v>
      </c>
    </row>
    <row r="17" customFormat="false" ht="15" hidden="false" customHeight="true" outlineLevel="0" collapsed="false">
      <c r="A17" s="47" t="s">
        <v>221</v>
      </c>
      <c r="B17" s="49" t="n">
        <f aca="false">B12*B14</f>
        <v>479115</v>
      </c>
      <c r="C17" s="49" t="n">
        <f aca="false">C12*C14</f>
        <v>1131624</v>
      </c>
      <c r="D17" s="49" t="n">
        <f aca="false">D12*D14</f>
        <v>2096757</v>
      </c>
      <c r="E17" s="49" t="n">
        <f aca="false">E12*E14</f>
        <v>3597984</v>
      </c>
      <c r="F17" s="49" t="n">
        <f aca="false">F12*F14</f>
        <v>5986656</v>
      </c>
      <c r="G17" s="49" t="n">
        <f aca="false">G12*G14</f>
        <v>9826479</v>
      </c>
      <c r="H17" s="49" t="n">
        <f aca="false">H12*H14</f>
        <v>16038945</v>
      </c>
      <c r="I17" s="49" t="n">
        <f aca="false">I12*I14</f>
        <v>26107263</v>
      </c>
      <c r="J17" s="49" t="n">
        <f aca="false">J12*J14</f>
        <v>42445026</v>
      </c>
      <c r="K17" s="49" t="n">
        <f aca="false">K12*K14</f>
        <v>68972085</v>
      </c>
      <c r="L17" s="49" t="n">
        <f aca="false">L12*L14</f>
        <v>112049028</v>
      </c>
      <c r="M17" s="49" t="n">
        <f aca="false">M12*M14</f>
        <v>182013507</v>
      </c>
      <c r="N17" s="45" t="n">
        <f aca="false">SUM(B17:M17)</f>
        <v>470744469</v>
      </c>
    </row>
    <row r="19" customFormat="false" ht="15" hidden="false" customHeight="true" outlineLevel="0" collapsed="false">
      <c r="A19" s="46" t="s">
        <v>222</v>
      </c>
    </row>
    <row r="20" customFormat="false" ht="15" hidden="false" customHeight="true" outlineLevel="0" collapsed="false">
      <c r="A20" s="47" t="s">
        <v>223</v>
      </c>
      <c r="B20" s="51" t="s">
        <v>224</v>
      </c>
      <c r="C20" s="51" t="s">
        <v>224</v>
      </c>
      <c r="D20" s="51" t="s">
        <v>225</v>
      </c>
      <c r="E20" s="51" t="s">
        <v>225</v>
      </c>
      <c r="F20" s="51" t="s">
        <v>226</v>
      </c>
      <c r="G20" s="51" t="s">
        <v>227</v>
      </c>
      <c r="H20" s="51" t="s">
        <v>227</v>
      </c>
      <c r="I20" s="51" t="s">
        <v>228</v>
      </c>
      <c r="J20" s="51" t="s">
        <v>229</v>
      </c>
      <c r="K20" s="51" t="s">
        <v>230</v>
      </c>
      <c r="L20" s="51" t="s">
        <v>231</v>
      </c>
      <c r="M20" s="51" t="s">
        <v>232</v>
      </c>
    </row>
    <row r="21" customFormat="false" ht="15" hidden="false" customHeight="true" outlineLevel="0" collapsed="false">
      <c r="A21" s="47" t="s">
        <v>233</v>
      </c>
      <c r="B21" s="49" t="n">
        <f aca="false">ROUND(B12*B14*0.07,0)</f>
        <v>33538</v>
      </c>
      <c r="C21" s="49" t="n">
        <f aca="false">ROUND(C12*C14*0.07,0)</f>
        <v>79214</v>
      </c>
      <c r="D21" s="49" t="n">
        <f aca="false">ROUND(D12*D14*0.07,0)</f>
        <v>146773</v>
      </c>
      <c r="E21" s="49" t="n">
        <f aca="false">ROUND(E12*E14*0.065,0)</f>
        <v>233869</v>
      </c>
      <c r="F21" s="49" t="n">
        <f aca="false">ROUND(F12*F14*0.065,0)</f>
        <v>389133</v>
      </c>
      <c r="G21" s="49" t="n">
        <f aca="false">ROUND(G12*G14*0.06,0)</f>
        <v>589589</v>
      </c>
      <c r="H21" s="49" t="n">
        <f aca="false">ROUND(H12*H14*0.06,0)</f>
        <v>962337</v>
      </c>
      <c r="I21" s="49" t="n">
        <f aca="false">ROUND(I12*I14*0.055,0)</f>
        <v>1435899</v>
      </c>
      <c r="J21" s="49" t="n">
        <f aca="false">ROUND(J12*J14*0.05,0)</f>
        <v>2122251</v>
      </c>
      <c r="K21" s="49" t="n">
        <f aca="false">ROUND(K12*K14*0.05,0)</f>
        <v>3448604</v>
      </c>
      <c r="L21" s="49" t="n">
        <f aca="false">ROUND(L12*L14*0.045,0)</f>
        <v>5042206</v>
      </c>
      <c r="M21" s="49" t="n">
        <f aca="false">ROUND(M12*M14*0.04,0)</f>
        <v>7280540</v>
      </c>
      <c r="N21" s="45" t="n">
        <f aca="false">SUM(B21:M21)</f>
        <v>21763953</v>
      </c>
    </row>
    <row r="22" customFormat="false" ht="15" hidden="false" customHeight="true" outlineLevel="0" collapsed="false">
      <c r="A22" s="47" t="s">
        <v>234</v>
      </c>
      <c r="B22" s="52" t="n">
        <v>75000</v>
      </c>
      <c r="C22" s="52" t="n">
        <v>75000</v>
      </c>
      <c r="D22" s="52" t="n">
        <v>100000</v>
      </c>
      <c r="E22" s="52" t="n">
        <v>100000</v>
      </c>
      <c r="F22" s="52" t="n">
        <v>125000</v>
      </c>
      <c r="G22" s="52" t="n">
        <v>150000</v>
      </c>
      <c r="H22" s="52" t="n">
        <v>150000</v>
      </c>
      <c r="I22" s="52" t="n">
        <v>175000</v>
      </c>
      <c r="J22" s="52" t="n">
        <v>200000</v>
      </c>
      <c r="K22" s="52" t="n">
        <v>225000</v>
      </c>
      <c r="L22" s="52" t="n">
        <v>250000</v>
      </c>
      <c r="M22" s="52" t="n">
        <v>300000</v>
      </c>
      <c r="N22" s="45" t="n">
        <f aca="false">SUM(B22:M22)</f>
        <v>1925000</v>
      </c>
    </row>
    <row r="23" customFormat="false" ht="15" hidden="false" customHeight="true" outlineLevel="0" collapsed="false">
      <c r="A23" s="47" t="s">
        <v>235</v>
      </c>
      <c r="B23" s="49" t="n">
        <f aca="false">ROUND(B12*2.5+B12*B14*0.09,0)</f>
        <v>53358</v>
      </c>
      <c r="C23" s="49" t="n">
        <f aca="false">ROUND(C12*2.5+C12*C14*0.09,0)</f>
        <v>126026</v>
      </c>
      <c r="D23" s="49" t="n">
        <f aca="false">ROUND(D12*3+D12*D14*0.09,0)</f>
        <v>242471</v>
      </c>
      <c r="E23" s="49" t="n">
        <f aca="false">ROUND(E12*3+E12*E14*0.105,0)</f>
        <v>470044</v>
      </c>
      <c r="F23" s="49" t="n">
        <f aca="false">ROUND(F12*3.5+F12*F14*0.105,0)</f>
        <v>807687</v>
      </c>
      <c r="G23" s="49" t="n">
        <f aca="false">ROUND(G12*4+G12*G14*0.12,0)</f>
        <v>1515125</v>
      </c>
      <c r="H23" s="49" t="n">
        <f aca="false">ROUND(H12*4+H12*H14*0.12,0)</f>
        <v>2473013</v>
      </c>
      <c r="I23" s="49" t="n">
        <f aca="false">ROUND(I12*4.5+I12*I14*0.135,0)</f>
        <v>4528606</v>
      </c>
      <c r="J23" s="49" t="n">
        <f aca="false">ROUND(J12*5+J12*J14*0.14,0)</f>
        <v>7756194</v>
      </c>
      <c r="K23" s="49" t="n">
        <f aca="false">ROUND(K12*5+K12*K14*0.14,0)</f>
        <v>12603617</v>
      </c>
      <c r="L23" s="49" t="n">
        <f aca="false">ROUND(L12*5.5+L12*L14*0.155,0)</f>
        <v>22634861</v>
      </c>
      <c r="M23" s="49" t="n">
        <f aca="false">ROUND(M12*6+M12*M14*0.16,0)</f>
        <v>38456187</v>
      </c>
      <c r="N23" s="45" t="n">
        <f aca="false">SUM(B23:M23)</f>
        <v>91667189</v>
      </c>
    </row>
    <row r="24" customFormat="false" ht="15" hidden="false" customHeight="true" outlineLevel="0" collapsed="false">
      <c r="A24" s="47" t="s">
        <v>236</v>
      </c>
      <c r="B24" s="52" t="n">
        <v>18000</v>
      </c>
      <c r="C24" s="52" t="n">
        <v>18000</v>
      </c>
      <c r="D24" s="52" t="n">
        <v>24000</v>
      </c>
      <c r="E24" s="52" t="n">
        <v>24000</v>
      </c>
      <c r="F24" s="52" t="n">
        <v>30000</v>
      </c>
      <c r="G24" s="52" t="n">
        <v>36000</v>
      </c>
      <c r="H24" s="52" t="n">
        <v>36000</v>
      </c>
      <c r="I24" s="52" t="n">
        <v>42000</v>
      </c>
      <c r="J24" s="52" t="n">
        <v>48000</v>
      </c>
      <c r="K24" s="52" t="n">
        <v>54000</v>
      </c>
      <c r="L24" s="52" t="n">
        <v>60000</v>
      </c>
      <c r="M24" s="52" t="n">
        <v>72000</v>
      </c>
      <c r="N24" s="45" t="n">
        <f aca="false">SUM(B24:M24)</f>
        <v>462000</v>
      </c>
    </row>
    <row r="25" customFormat="false" ht="15" hidden="false" customHeight="true" outlineLevel="0" collapsed="false">
      <c r="A25" s="47" t="s">
        <v>237</v>
      </c>
      <c r="B25" s="52" t="n">
        <v>24000</v>
      </c>
      <c r="C25" s="52" t="n">
        <v>24000</v>
      </c>
      <c r="D25" s="52" t="n">
        <v>36000</v>
      </c>
      <c r="E25" s="52" t="n">
        <v>36000</v>
      </c>
      <c r="F25" s="52" t="n">
        <v>48000</v>
      </c>
      <c r="G25" s="52" t="n">
        <v>60000</v>
      </c>
      <c r="H25" s="52" t="n">
        <v>60000</v>
      </c>
      <c r="I25" s="52" t="n">
        <v>72000</v>
      </c>
      <c r="J25" s="52" t="n">
        <v>84000</v>
      </c>
      <c r="K25" s="52" t="n">
        <v>96000</v>
      </c>
      <c r="L25" s="52" t="n">
        <v>108000</v>
      </c>
      <c r="M25" s="52" t="n">
        <v>120000</v>
      </c>
      <c r="N25" s="45" t="n">
        <f aca="false">SUM(B25:M25)</f>
        <v>768000</v>
      </c>
    </row>
    <row r="26" customFormat="false" ht="15" hidden="false" customHeight="true" outlineLevel="0" collapsed="false">
      <c r="A26" s="47" t="s">
        <v>238</v>
      </c>
      <c r="B26" s="48" t="n">
        <f aca="false">ROUND(B7*Varsayimlar!C54*29,0)</f>
        <v>2610</v>
      </c>
      <c r="C26" s="48" t="n">
        <f aca="false">ROUND(C7*Varsayimlar!C54*29,0)</f>
        <v>6163</v>
      </c>
      <c r="D26" s="48" t="n">
        <f aca="false">ROUND(D7*Varsayimlar!C54*29,0)</f>
        <v>11427</v>
      </c>
      <c r="E26" s="48" t="n">
        <f aca="false">ROUND(E7*Varsayimlar!C54*29,0)</f>
        <v>19605</v>
      </c>
      <c r="F26" s="48" t="n">
        <f aca="false">ROUND(F7*Varsayimlar!C54*29,0)</f>
        <v>32611</v>
      </c>
      <c r="G26" s="48" t="n">
        <f aca="false">ROUND(G7*Varsayimlar!C54*29,0)</f>
        <v>53535</v>
      </c>
      <c r="H26" s="48" t="n">
        <f aca="false">ROUND(H7*Varsayimlar!C54*29,0)</f>
        <v>87371</v>
      </c>
      <c r="I26" s="48" t="n">
        <f aca="false">ROUND(I7*Varsayimlar!C54*29,0)</f>
        <v>142218</v>
      </c>
      <c r="J26" s="48" t="n">
        <f aca="false">ROUND(J7*Varsayimlar!C54*29,0)</f>
        <v>231223</v>
      </c>
      <c r="K26" s="48" t="n">
        <f aca="false">ROUND(K7*Varsayimlar!C54*29,0)</f>
        <v>375729</v>
      </c>
      <c r="L26" s="48" t="n">
        <f aca="false">ROUND(L7*Varsayimlar!C54*29,0)</f>
        <v>610396</v>
      </c>
      <c r="M26" s="48" t="n">
        <f aca="false">ROUND(M7*Varsayimlar!C54*29,0)</f>
        <v>991520</v>
      </c>
      <c r="N26" s="45" t="n">
        <f aca="false">SUM(B26:M26)</f>
        <v>2564408</v>
      </c>
    </row>
    <row r="27" customFormat="false" ht="15" hidden="false" customHeight="true" outlineLevel="0" collapsed="false">
      <c r="A27" s="47" t="s">
        <v>239</v>
      </c>
      <c r="B27" s="52" t="n">
        <v>0</v>
      </c>
      <c r="C27" s="52" t="n">
        <v>0</v>
      </c>
      <c r="D27" s="52" t="n">
        <v>2500</v>
      </c>
      <c r="E27" s="52" t="n">
        <v>5000</v>
      </c>
      <c r="F27" s="52" t="n">
        <v>7500</v>
      </c>
      <c r="G27" s="52" t="n">
        <v>12500</v>
      </c>
      <c r="H27" s="52" t="n">
        <v>15000</v>
      </c>
      <c r="I27" s="52" t="n">
        <v>20000</v>
      </c>
      <c r="J27" s="52" t="n">
        <v>25000</v>
      </c>
      <c r="K27" s="52" t="n">
        <v>30000</v>
      </c>
      <c r="L27" s="52" t="n">
        <v>32500</v>
      </c>
      <c r="M27" s="52" t="n">
        <v>37500</v>
      </c>
      <c r="N27" s="45" t="n">
        <f aca="false">SUM(B27:M27)</f>
        <v>187500</v>
      </c>
    </row>
    <row r="28" customFormat="false" ht="15" hidden="false" customHeight="true" outlineLevel="0" collapsed="false">
      <c r="A28" s="47" t="s">
        <v>240</v>
      </c>
      <c r="B28" s="52" t="n">
        <f aca="false">0*Varsayimlar!C57*B14*0.05+0*15000</f>
        <v>0</v>
      </c>
      <c r="C28" s="52" t="n">
        <f aca="false">0*Varsayimlar!C57*C14*0.05+0*15000</f>
        <v>0</v>
      </c>
      <c r="D28" s="49" t="n">
        <f aca="false">1*Varsayimlar!C57*D14*0.05+1*15000</f>
        <v>15585</v>
      </c>
      <c r="E28" s="49" t="n">
        <f aca="false">1*Varsayimlar!C57*E14*0.05+1*15000</f>
        <v>15585</v>
      </c>
      <c r="F28" s="49" t="n">
        <f aca="false">2*Varsayimlar!C57*F14*0.05+2*15000</f>
        <v>31170</v>
      </c>
      <c r="G28" s="49" t="n">
        <f aca="false">3*Varsayimlar!C57*G14*0.05+3*15000</f>
        <v>46755</v>
      </c>
      <c r="H28" s="49" t="n">
        <f aca="false">3*Varsayimlar!C57*H14*0.05+3*15000</f>
        <v>46755</v>
      </c>
      <c r="I28" s="49" t="n">
        <f aca="false">4*Varsayimlar!C57*I14*0.05+4*15000</f>
        <v>62340</v>
      </c>
      <c r="J28" s="49" t="n">
        <f aca="false">5*Varsayimlar!C57*J14*0.05+5*15000</f>
        <v>77925</v>
      </c>
      <c r="K28" s="49" t="n">
        <f aca="false">6*Varsayimlar!C57*K14*0.05+6*15000</f>
        <v>93510</v>
      </c>
      <c r="L28" s="49" t="n">
        <f aca="false">7*Varsayimlar!C57*L14*0.05+7*15000</f>
        <v>109095</v>
      </c>
      <c r="M28" s="49" t="n">
        <f aca="false">8*Varsayimlar!C57*M14*0.05+8*15000</f>
        <v>124680</v>
      </c>
      <c r="N28" s="45" t="n">
        <f aca="false">SUM(B28:M28)</f>
        <v>623400</v>
      </c>
    </row>
    <row r="29" customFormat="false" ht="15" hidden="false" customHeight="true" outlineLevel="0" collapsed="false">
      <c r="A29" s="53" t="s">
        <v>241</v>
      </c>
      <c r="B29" s="45" t="n">
        <f aca="false">SUM(B21:B28)</f>
        <v>206506</v>
      </c>
      <c r="C29" s="45" t="n">
        <f aca="false">SUM(C21:C28)</f>
        <v>328403</v>
      </c>
      <c r="D29" s="45" t="n">
        <f aca="false">SUM(D21:D28)</f>
        <v>578756</v>
      </c>
      <c r="E29" s="45" t="n">
        <f aca="false">SUM(E21:E28)</f>
        <v>904103</v>
      </c>
      <c r="F29" s="45" t="n">
        <f aca="false">SUM(F21:F28)</f>
        <v>1471101</v>
      </c>
      <c r="G29" s="45" t="n">
        <f aca="false">SUM(G21:G28)</f>
        <v>2463504</v>
      </c>
      <c r="H29" s="45" t="n">
        <f aca="false">SUM(H21:H28)</f>
        <v>3830476</v>
      </c>
      <c r="I29" s="45" t="n">
        <f aca="false">SUM(I21:I28)</f>
        <v>6478063</v>
      </c>
      <c r="J29" s="45" t="n">
        <f aca="false">SUM(J21:J28)</f>
        <v>10544593</v>
      </c>
      <c r="K29" s="45" t="n">
        <f aca="false">SUM(K21:K28)</f>
        <v>16926460</v>
      </c>
      <c r="L29" s="45" t="n">
        <f aca="false">SUM(L21:L28)</f>
        <v>28847058</v>
      </c>
      <c r="M29" s="45" t="n">
        <f aca="false">SUM(M21:M28)</f>
        <v>47382427</v>
      </c>
      <c r="N29" s="45" t="n">
        <f aca="false">SUM(N21:N28)</f>
        <v>119961450</v>
      </c>
      <c r="O29" s="54"/>
    </row>
    <row r="30" customFormat="false" ht="15" hidden="false" customHeight="true" outlineLevel="0" collapsed="false">
      <c r="N30" s="55" t="n">
        <f aca="false">N29/42</f>
        <v>2856225</v>
      </c>
    </row>
    <row r="31" customFormat="false" ht="15" hidden="false" customHeight="true" outlineLevel="0" collapsed="false">
      <c r="A31" s="46" t="s">
        <v>242</v>
      </c>
    </row>
    <row r="32" customFormat="false" ht="15" hidden="false" customHeight="true" outlineLevel="0" collapsed="false">
      <c r="A32" s="47" t="s">
        <v>243</v>
      </c>
      <c r="B32" s="56" t="n">
        <f aca="false">IF(B17=0,0,B21/B17)</f>
        <v>0.0699998956409213</v>
      </c>
      <c r="C32" s="56" t="n">
        <f aca="false">IF(C17=0,0,C21/C17)</f>
        <v>0.0700002827794391</v>
      </c>
      <c r="D32" s="56" t="n">
        <f aca="false">IF(D17=0,0,D21/D17)</f>
        <v>0.0700000047692699</v>
      </c>
      <c r="E32" s="56" t="n">
        <f aca="false">IF(E17=0,0,E21/E17)</f>
        <v>0.0650000111173368</v>
      </c>
      <c r="F32" s="56" t="n">
        <f aca="false">IF(F17=0,0,F21/F17)</f>
        <v>0.0650000601337374</v>
      </c>
      <c r="G32" s="56" t="n">
        <f aca="false">IF(G17=0,0,G21/G17)</f>
        <v>0.0600000264591213</v>
      </c>
      <c r="H32" s="56" t="n">
        <f aca="false">IF(H17=0,0,H21/H17)</f>
        <v>0.0600000187044721</v>
      </c>
      <c r="I32" s="56" t="n">
        <f aca="false">IF(I17=0,0,I21/I17)</f>
        <v>0.0549999821888645</v>
      </c>
      <c r="J32" s="56" t="n">
        <f aca="false">IF(J17=0,0,J21/J17)</f>
        <v>0.049999992932034</v>
      </c>
      <c r="K32" s="56" t="n">
        <f aca="false">IF(K17=0,0,K21/K17)</f>
        <v>0.0499999963753452</v>
      </c>
      <c r="L32" s="56" t="n">
        <f aca="false">IF(L17=0,0,L21/L17)</f>
        <v>0.0449999976795872</v>
      </c>
      <c r="M32" s="56" t="n">
        <f aca="false">IF(M17=0,0,M21/M17)</f>
        <v>0.0399999984616526</v>
      </c>
    </row>
    <row r="33" customFormat="false" ht="15" hidden="false" customHeight="true" outlineLevel="0" collapsed="false">
      <c r="A33" s="47" t="s">
        <v>244</v>
      </c>
      <c r="B33" s="57" t="n">
        <v>2.5</v>
      </c>
      <c r="C33" s="57" t="n">
        <v>2.5</v>
      </c>
      <c r="D33" s="57" t="n">
        <v>3</v>
      </c>
      <c r="E33" s="57" t="n">
        <v>3</v>
      </c>
      <c r="F33" s="57" t="n">
        <v>3.5</v>
      </c>
      <c r="G33" s="57" t="n">
        <v>4</v>
      </c>
      <c r="H33" s="57" t="n">
        <v>4</v>
      </c>
      <c r="I33" s="57" t="n">
        <v>4.5</v>
      </c>
      <c r="J33" s="57" t="n">
        <v>5</v>
      </c>
      <c r="K33" s="57" t="n">
        <v>5</v>
      </c>
      <c r="L33" s="57" t="n">
        <v>5.5</v>
      </c>
      <c r="M33" s="57" t="n">
        <v>6</v>
      </c>
    </row>
    <row r="34" customFormat="false" ht="15" hidden="false" customHeight="true" outlineLevel="0" collapsed="false">
      <c r="A34" s="47" t="s">
        <v>245</v>
      </c>
      <c r="B34" s="58" t="n">
        <v>0.09</v>
      </c>
      <c r="C34" s="58" t="n">
        <v>0.09</v>
      </c>
      <c r="D34" s="58" t="n">
        <v>0.09</v>
      </c>
      <c r="E34" s="58" t="n">
        <v>0.105</v>
      </c>
      <c r="F34" s="58" t="n">
        <v>0.105</v>
      </c>
      <c r="G34" s="58" t="n">
        <v>0.12</v>
      </c>
      <c r="H34" s="58" t="n">
        <v>0.12</v>
      </c>
      <c r="I34" s="58" t="n">
        <v>0.135</v>
      </c>
      <c r="J34" s="58" t="n">
        <v>0.14</v>
      </c>
      <c r="K34" s="58" t="n">
        <v>0.14</v>
      </c>
      <c r="L34" s="58" t="n">
        <v>0.155</v>
      </c>
      <c r="M34" s="58" t="n">
        <v>0.16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2" activeCellId="0" sqref="O12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3" min="2" style="1" width="15"/>
    <col collapsed="false" customWidth="true" hidden="false" outlineLevel="0" max="14" min="14" style="1" width="16.43"/>
    <col collapsed="false" customWidth="true" hidden="false" outlineLevel="0" max="15" min="15" style="1" width="12.71"/>
  </cols>
  <sheetData>
    <row r="1" customFormat="false" ht="17.25" hidden="false" customHeight="true" outlineLevel="0" collapsed="false">
      <c r="A1" s="43" t="s">
        <v>248</v>
      </c>
    </row>
    <row r="2" customFormat="false" ht="15" hidden="false" customHeight="true" outlineLevel="0" collapsed="false">
      <c r="A2" s="44" t="s">
        <v>249</v>
      </c>
    </row>
    <row r="3" customFormat="false" ht="15" hidden="false" customHeight="true" outlineLevel="0" collapsed="false">
      <c r="B3" s="45" t="s">
        <v>196</v>
      </c>
      <c r="C3" s="45" t="s">
        <v>197</v>
      </c>
      <c r="D3" s="45" t="s">
        <v>198</v>
      </c>
      <c r="E3" s="45" t="s">
        <v>199</v>
      </c>
      <c r="F3" s="45" t="s">
        <v>200</v>
      </c>
      <c r="G3" s="45" t="s">
        <v>201</v>
      </c>
      <c r="H3" s="45" t="s">
        <v>202</v>
      </c>
      <c r="I3" s="45" t="s">
        <v>203</v>
      </c>
      <c r="J3" s="45" t="s">
        <v>204</v>
      </c>
      <c r="K3" s="45" t="s">
        <v>205</v>
      </c>
      <c r="L3" s="45" t="s">
        <v>206</v>
      </c>
      <c r="M3" s="45" t="s">
        <v>207</v>
      </c>
      <c r="N3" s="45" t="s">
        <v>208</v>
      </c>
    </row>
    <row r="4" customFormat="false" ht="15" hidden="false" customHeight="true" outlineLevel="0" collapsed="false">
      <c r="A4" s="46" t="s">
        <v>209</v>
      </c>
    </row>
    <row r="5" customFormat="false" ht="15" hidden="false" customHeight="true" outlineLevel="0" collapsed="false">
      <c r="A5" s="47" t="s">
        <v>210</v>
      </c>
      <c r="B5" s="48" t="n">
        <f aca="false">Varsayimlar!D11</f>
        <v>5000</v>
      </c>
      <c r="C5" s="49" t="n">
        <f aca="false">ROUND(B5*(1+Varsayimlar!D12)+B11*Varsayimlar!D13,0)</f>
        <v>8373</v>
      </c>
      <c r="D5" s="49" t="n">
        <f aca="false">ROUND(C5*(1+Varsayimlar!D12)+C11*Varsayimlar!D13,0)</f>
        <v>15737</v>
      </c>
      <c r="E5" s="49" t="n">
        <f aca="false">ROUND(D5*(1+Varsayimlar!D12)+D11*Varsayimlar!D13,0)</f>
        <v>30898</v>
      </c>
      <c r="F5" s="49" t="n">
        <f aca="false">ROUND(E5*(1+Varsayimlar!D12)+E11*Varsayimlar!D13,0)</f>
        <v>61553</v>
      </c>
      <c r="G5" s="49" t="n">
        <f aca="false">ROUND(F5*(1+Varsayimlar!D12)+F11*Varsayimlar!D13,0)</f>
        <v>123208</v>
      </c>
      <c r="H5" s="49" t="n">
        <f aca="false">ROUND(G5*(1+Varsayimlar!D12)+G11*Varsayimlar!D13,0)</f>
        <v>246996</v>
      </c>
      <c r="I5" s="49" t="n">
        <f aca="false">ROUND(H5*(1+Varsayimlar!D12)+H11*Varsayimlar!D13,0)</f>
        <v>495392</v>
      </c>
      <c r="J5" s="49" t="n">
        <f aca="false">ROUND(I5*(1+Varsayimlar!D12)+I11*Varsayimlar!D13,0)</f>
        <v>993753</v>
      </c>
      <c r="K5" s="49" t="n">
        <f aca="false">ROUND(J5*(1+Varsayimlar!D12)+J11*Varsayimlar!D13,0)</f>
        <v>1993553</v>
      </c>
      <c r="L5" s="49" t="n">
        <f aca="false">ROUND(K5*(1+Varsayimlar!D12)+K11*Varsayimlar!D13,0)</f>
        <v>3999301</v>
      </c>
      <c r="M5" s="49" t="n">
        <f aca="false">ROUND(L5*(1+Varsayimlar!D12)+L11*Varsayimlar!D13,0)</f>
        <v>8023105</v>
      </c>
      <c r="N5" s="45" t="n">
        <f aca="false">SUM(B5:M5)</f>
        <v>15996869</v>
      </c>
    </row>
    <row r="6" customFormat="false" ht="15" hidden="false" customHeight="true" outlineLevel="0" collapsed="false">
      <c r="A6" s="47" t="s">
        <v>211</v>
      </c>
      <c r="B6" s="49" t="n">
        <f aca="false">B5</f>
        <v>5000</v>
      </c>
      <c r="C6" s="49" t="n">
        <f aca="false">B6+C5</f>
        <v>13373</v>
      </c>
      <c r="D6" s="49" t="n">
        <f aca="false">C6+D5</f>
        <v>29110</v>
      </c>
      <c r="E6" s="49" t="n">
        <f aca="false">D6+E5</f>
        <v>60008</v>
      </c>
      <c r="F6" s="49" t="n">
        <f aca="false">E6+F5</f>
        <v>121561</v>
      </c>
      <c r="G6" s="49" t="n">
        <f aca="false">F6+G5</f>
        <v>244769</v>
      </c>
      <c r="H6" s="49" t="n">
        <f aca="false">G6+H5</f>
        <v>491765</v>
      </c>
      <c r="I6" s="49" t="n">
        <f aca="false">H6+I5</f>
        <v>987157</v>
      </c>
      <c r="J6" s="49" t="n">
        <f aca="false">I6+J5</f>
        <v>1980910</v>
      </c>
      <c r="K6" s="49" t="n">
        <f aca="false">J6+K5</f>
        <v>3974463</v>
      </c>
      <c r="L6" s="49" t="n">
        <f aca="false">K6+L5</f>
        <v>7973764</v>
      </c>
      <c r="M6" s="49" t="n">
        <f aca="false">L6+M5</f>
        <v>15996869</v>
      </c>
      <c r="N6" s="45" t="n">
        <f aca="false">M6</f>
        <v>15996869</v>
      </c>
    </row>
    <row r="7" customFormat="false" ht="15" hidden="false" customHeight="true" outlineLevel="0" collapsed="false">
      <c r="A7" s="47" t="s">
        <v>212</v>
      </c>
      <c r="B7" s="48" t="n">
        <f aca="false">ROUND(B6*Varsayimlar!D14,0)</f>
        <v>3500</v>
      </c>
      <c r="C7" s="49" t="n">
        <f aca="false">ROUND(B7*(1-Varsayimlar!D19)+C5*Varsayimlar!D14,0)</f>
        <v>9256</v>
      </c>
      <c r="D7" s="49" t="n">
        <f aca="false">ROUND(C7*(1-Varsayimlar!D19)+D5*Varsayimlar!D14,0)</f>
        <v>19994</v>
      </c>
      <c r="E7" s="49" t="n">
        <f aca="false">ROUND(D7*(1-Varsayimlar!D19)+E5*Varsayimlar!D14,0)</f>
        <v>41023</v>
      </c>
      <c r="F7" s="49" t="n">
        <f aca="false">ROUND(E7*(1-Varsayimlar!D19)+F5*Varsayimlar!D14,0)</f>
        <v>82879</v>
      </c>
      <c r="G7" s="49" t="n">
        <f aca="false">ROUND(F7*(1-Varsayimlar!D19)+G5*Varsayimlar!D14,0)</f>
        <v>166638</v>
      </c>
      <c r="H7" s="49" t="n">
        <f aca="false">ROUND(G7*(1-Varsayimlar!D19)+H5*Varsayimlar!D14,0)</f>
        <v>334536</v>
      </c>
      <c r="I7" s="49" t="n">
        <f aca="false">ROUND(H7*(1-Varsayimlar!D19)+I5*Varsayimlar!D14,0)</f>
        <v>671274</v>
      </c>
      <c r="J7" s="49" t="n">
        <f aca="false">ROUND(I7*(1-Varsayimlar!D19)+J5*Varsayimlar!D14,0)</f>
        <v>1346763</v>
      </c>
      <c r="K7" s="49" t="n">
        <f aca="false">ROUND(J7*(1-Varsayimlar!D19)+K5*Varsayimlar!D14,0)</f>
        <v>2701847</v>
      </c>
      <c r="L7" s="49" t="n">
        <f aca="false">ROUND(K7*(1-Varsayimlar!D19)+L5*Varsayimlar!D14,0)</f>
        <v>5420302</v>
      </c>
      <c r="M7" s="49" t="n">
        <f aca="false">ROUND(L7*(1-Varsayimlar!D19)+M5*Varsayimlar!D14,0)</f>
        <v>10873866</v>
      </c>
      <c r="N7" s="45" t="n">
        <f aca="false">M7</f>
        <v>10873866</v>
      </c>
    </row>
    <row r="8" customFormat="false" ht="15" hidden="false" customHeight="true" outlineLevel="0" collapsed="false">
      <c r="A8" s="47" t="s">
        <v>213</v>
      </c>
      <c r="B8" s="49" t="n">
        <f aca="false">ROUND(B7*Varsayimlar!D15,0)</f>
        <v>875</v>
      </c>
      <c r="C8" s="49" t="n">
        <f aca="false">ROUND(C7*Varsayimlar!D15,0)</f>
        <v>2314</v>
      </c>
      <c r="D8" s="49" t="n">
        <f aca="false">ROUND(D7*Varsayimlar!D15,0)</f>
        <v>4999</v>
      </c>
      <c r="E8" s="49" t="n">
        <f aca="false">ROUND(E7*Varsayimlar!D15,0)</f>
        <v>10256</v>
      </c>
      <c r="F8" s="49" t="n">
        <f aca="false">ROUND(F7*Varsayimlar!D15,0)</f>
        <v>20720</v>
      </c>
      <c r="G8" s="49" t="n">
        <f aca="false">ROUND(G7*Varsayimlar!D15,0)</f>
        <v>41660</v>
      </c>
      <c r="H8" s="49" t="n">
        <f aca="false">ROUND(H7*Varsayimlar!D15,0)</f>
        <v>83634</v>
      </c>
      <c r="I8" s="49" t="n">
        <f aca="false">ROUND(I7*Varsayimlar!D15,0)</f>
        <v>167819</v>
      </c>
      <c r="J8" s="49" t="n">
        <f aca="false">ROUND(J7*Varsayimlar!D15,0)</f>
        <v>336691</v>
      </c>
      <c r="K8" s="49" t="n">
        <f aca="false">ROUND(K7*Varsayimlar!D15,0)</f>
        <v>675462</v>
      </c>
      <c r="L8" s="49" t="n">
        <f aca="false">ROUND(L7*Varsayimlar!D15,0)</f>
        <v>1355076</v>
      </c>
      <c r="M8" s="49" t="n">
        <f aca="false">ROUND(M7*Varsayimlar!D15,0)</f>
        <v>2718467</v>
      </c>
      <c r="N8" s="45" t="n">
        <f aca="false">M8</f>
        <v>2718467</v>
      </c>
    </row>
    <row r="9" customFormat="false" ht="15" hidden="false" customHeight="true" outlineLevel="0" collapsed="false">
      <c r="A9" s="46" t="s">
        <v>214</v>
      </c>
    </row>
    <row r="10" customFormat="false" ht="15" hidden="false" customHeight="true" outlineLevel="0" collapsed="false">
      <c r="A10" s="47" t="s">
        <v>215</v>
      </c>
      <c r="B10" s="49" t="n">
        <f aca="false">ROUND(B8*Varsayimlar!D16,0)</f>
        <v>394</v>
      </c>
      <c r="C10" s="49" t="n">
        <f aca="false">ROUND(C8*Varsayimlar!D16,0)</f>
        <v>1041</v>
      </c>
      <c r="D10" s="49" t="n">
        <f aca="false">ROUND(D8*Varsayimlar!D16,0)</f>
        <v>2250</v>
      </c>
      <c r="E10" s="49" t="n">
        <f aca="false">ROUND(E8*Varsayimlar!D16,0)</f>
        <v>4615</v>
      </c>
      <c r="F10" s="49" t="n">
        <f aca="false">ROUND(F8*Varsayimlar!D16,0)</f>
        <v>9324</v>
      </c>
      <c r="G10" s="49" t="n">
        <f aca="false">ROUND(G8*Varsayimlar!D16,0)</f>
        <v>18747</v>
      </c>
      <c r="H10" s="49" t="n">
        <f aca="false">ROUND(H8*Varsayimlar!D16,0)</f>
        <v>37635</v>
      </c>
      <c r="I10" s="49" t="n">
        <f aca="false">ROUND(I8*Varsayimlar!D16,0)</f>
        <v>75519</v>
      </c>
      <c r="J10" s="49" t="n">
        <f aca="false">ROUND(J8*Varsayimlar!D16,0)</f>
        <v>151511</v>
      </c>
      <c r="K10" s="49" t="n">
        <f aca="false">ROUND(K8*Varsayimlar!D16,0)</f>
        <v>303958</v>
      </c>
      <c r="L10" s="49" t="n">
        <f aca="false">ROUND(L8*Varsayimlar!D16,0)</f>
        <v>609784</v>
      </c>
      <c r="M10" s="49" t="n">
        <f aca="false">ROUND(M8*Varsayimlar!D16,0)</f>
        <v>1223310</v>
      </c>
      <c r="N10" s="45" t="n">
        <f aca="false">ROUND(SUM(B10:M10)/12,0)</f>
        <v>203174</v>
      </c>
    </row>
    <row r="11" customFormat="false" ht="15" hidden="false" customHeight="true" outlineLevel="0" collapsed="false">
      <c r="A11" s="47" t="s">
        <v>216</v>
      </c>
      <c r="B11" s="49" t="n">
        <f aca="false">B10*Varsayimlar!D17</f>
        <v>11820</v>
      </c>
      <c r="C11" s="49" t="n">
        <f aca="false">C10*Varsayimlar!D17</f>
        <v>31230</v>
      </c>
      <c r="D11" s="49" t="n">
        <f aca="false">D10*Varsayimlar!D17</f>
        <v>67500</v>
      </c>
      <c r="E11" s="49" t="n">
        <f aca="false">E10*Varsayimlar!D17</f>
        <v>138450</v>
      </c>
      <c r="F11" s="49" t="n">
        <f aca="false">F10*Varsayimlar!D17</f>
        <v>279720</v>
      </c>
      <c r="G11" s="49" t="n">
        <f aca="false">G10*Varsayimlar!D17</f>
        <v>562410</v>
      </c>
      <c r="H11" s="49" t="n">
        <f aca="false">H10*Varsayimlar!D17</f>
        <v>1129050</v>
      </c>
      <c r="I11" s="49" t="n">
        <f aca="false">I10*Varsayimlar!D17</f>
        <v>2265570</v>
      </c>
      <c r="J11" s="49" t="n">
        <f aca="false">J10*Varsayimlar!D17</f>
        <v>4545330</v>
      </c>
      <c r="K11" s="49" t="n">
        <f aca="false">K10*Varsayimlar!D17</f>
        <v>9118740</v>
      </c>
      <c r="L11" s="49" t="n">
        <f aca="false">L10*Varsayimlar!D17</f>
        <v>18293520</v>
      </c>
      <c r="M11" s="49" t="n">
        <f aca="false">M10*Varsayimlar!D17</f>
        <v>36699300</v>
      </c>
      <c r="N11" s="45" t="n">
        <f aca="false">SUM(B11:M11)</f>
        <v>73142640</v>
      </c>
    </row>
    <row r="12" customFormat="false" ht="15" hidden="false" customHeight="true" outlineLevel="0" collapsed="false">
      <c r="A12" s="47" t="s">
        <v>217</v>
      </c>
      <c r="B12" s="49" t="n">
        <f aca="false">ROUND(B11*Varsayimlar!D18,0)</f>
        <v>8865</v>
      </c>
      <c r="C12" s="49" t="n">
        <f aca="false">ROUND(C11*Varsayimlar!D18,0)</f>
        <v>23423</v>
      </c>
      <c r="D12" s="49" t="n">
        <f aca="false">ROUND(D11*Varsayimlar!D18,0)</f>
        <v>50625</v>
      </c>
      <c r="E12" s="49" t="n">
        <f aca="false">ROUND(E11*Varsayimlar!D18,0)</f>
        <v>103838</v>
      </c>
      <c r="F12" s="49" t="n">
        <f aca="false">ROUND(F11*Varsayimlar!D18,0)</f>
        <v>209790</v>
      </c>
      <c r="G12" s="49" t="n">
        <f aca="false">ROUND(G11*Varsayimlar!D18,0)</f>
        <v>421808</v>
      </c>
      <c r="H12" s="49" t="n">
        <f aca="false">ROUND(H11*Varsayimlar!D18,0)</f>
        <v>846788</v>
      </c>
      <c r="I12" s="49" t="n">
        <f aca="false">ROUND(I11*Varsayimlar!D18,0)</f>
        <v>1699178</v>
      </c>
      <c r="J12" s="49" t="n">
        <f aca="false">ROUND(J11*Varsayimlar!D18,0)</f>
        <v>3408998</v>
      </c>
      <c r="K12" s="49" t="n">
        <f aca="false">ROUND(K11*Varsayimlar!D18,0)</f>
        <v>6839055</v>
      </c>
      <c r="L12" s="49" t="n">
        <f aca="false">ROUND(L11*Varsayimlar!D18,0)</f>
        <v>13720140</v>
      </c>
      <c r="M12" s="49" t="n">
        <f aca="false">ROUND(M11*Varsayimlar!D18,0)</f>
        <v>27524475</v>
      </c>
      <c r="N12" s="45" t="n">
        <f aca="false">SUM(B12:M12)</f>
        <v>54856983</v>
      </c>
      <c r="O12" s="1" t="n">
        <f aca="false">N12/M7*M14</f>
        <v>590.247020792789</v>
      </c>
    </row>
    <row r="13" customFormat="false" ht="15" hidden="false" customHeight="true" outlineLevel="0" collapsed="false">
      <c r="A13" s="47" t="s">
        <v>218</v>
      </c>
      <c r="B13" s="49" t="n">
        <f aca="false">B11-B12</f>
        <v>2955</v>
      </c>
      <c r="C13" s="49" t="n">
        <f aca="false">C11-C12</f>
        <v>7807</v>
      </c>
      <c r="D13" s="49" t="n">
        <f aca="false">D11-D12</f>
        <v>16875</v>
      </c>
      <c r="E13" s="49" t="n">
        <f aca="false">E11-E12</f>
        <v>34612</v>
      </c>
      <c r="F13" s="49" t="n">
        <f aca="false">F11-F12</f>
        <v>69930</v>
      </c>
      <c r="G13" s="49" t="n">
        <f aca="false">G11-G12</f>
        <v>140602</v>
      </c>
      <c r="H13" s="49" t="n">
        <f aca="false">H11-H12</f>
        <v>282262</v>
      </c>
      <c r="I13" s="49" t="n">
        <f aca="false">I11-I12</f>
        <v>566392</v>
      </c>
      <c r="J13" s="49" t="n">
        <f aca="false">J11-J12</f>
        <v>1136332</v>
      </c>
      <c r="K13" s="49" t="n">
        <f aca="false">K11-K12</f>
        <v>2279685</v>
      </c>
      <c r="L13" s="49" t="n">
        <f aca="false">L11-L12</f>
        <v>4573380</v>
      </c>
      <c r="M13" s="49" t="n">
        <f aca="false">M11-M12</f>
        <v>9174825</v>
      </c>
      <c r="N13" s="45" t="n">
        <f aca="false">SUM(B13:M13)</f>
        <v>18285657</v>
      </c>
      <c r="O13" s="50"/>
    </row>
    <row r="14" customFormat="false" ht="15" hidden="false" customHeight="true" outlineLevel="0" collapsed="false">
      <c r="A14" s="47" t="s">
        <v>219</v>
      </c>
      <c r="B14" s="48" t="n">
        <f aca="false">Varsayimlar!D30</f>
        <v>117</v>
      </c>
      <c r="C14" s="48" t="n">
        <f aca="false">Varsayimlar!D30</f>
        <v>117</v>
      </c>
      <c r="D14" s="48" t="n">
        <f aca="false">Varsayimlar!D30</f>
        <v>117</v>
      </c>
      <c r="E14" s="48" t="n">
        <f aca="false">Varsayimlar!D30</f>
        <v>117</v>
      </c>
      <c r="F14" s="48" t="n">
        <f aca="false">Varsayimlar!D30</f>
        <v>117</v>
      </c>
      <c r="G14" s="48" t="n">
        <f aca="false">Varsayimlar!D30</f>
        <v>117</v>
      </c>
      <c r="H14" s="48" t="n">
        <f aca="false">Varsayimlar!D30</f>
        <v>117</v>
      </c>
      <c r="I14" s="48" t="n">
        <f aca="false">Varsayimlar!D30</f>
        <v>117</v>
      </c>
      <c r="J14" s="48" t="n">
        <f aca="false">Varsayimlar!D30</f>
        <v>117</v>
      </c>
      <c r="K14" s="48" t="n">
        <f aca="false">Varsayimlar!D30</f>
        <v>117</v>
      </c>
      <c r="L14" s="48" t="n">
        <f aca="false">Varsayimlar!D30</f>
        <v>117</v>
      </c>
      <c r="M14" s="48" t="n">
        <f aca="false">Varsayimlar!D30</f>
        <v>117</v>
      </c>
    </row>
    <row r="16" customFormat="false" ht="15" hidden="false" customHeight="true" outlineLevel="0" collapsed="false">
      <c r="A16" s="46" t="s">
        <v>220</v>
      </c>
    </row>
    <row r="17" customFormat="false" ht="15" hidden="false" customHeight="true" outlineLevel="0" collapsed="false">
      <c r="A17" s="47" t="s">
        <v>221</v>
      </c>
      <c r="B17" s="49" t="n">
        <f aca="false">B12*B14</f>
        <v>1037205</v>
      </c>
      <c r="C17" s="49" t="n">
        <f aca="false">C12*C14</f>
        <v>2740491</v>
      </c>
      <c r="D17" s="49" t="n">
        <f aca="false">D12*D14</f>
        <v>5923125</v>
      </c>
      <c r="E17" s="49" t="n">
        <f aca="false">E12*E14</f>
        <v>12149046</v>
      </c>
      <c r="F17" s="49" t="n">
        <f aca="false">F12*F14</f>
        <v>24545430</v>
      </c>
      <c r="G17" s="49" t="n">
        <f aca="false">G12*G14</f>
        <v>49351536</v>
      </c>
      <c r="H17" s="49" t="n">
        <f aca="false">H12*H14</f>
        <v>99074196</v>
      </c>
      <c r="I17" s="49" t="n">
        <f aca="false">I12*I14</f>
        <v>198803826</v>
      </c>
      <c r="J17" s="49" t="n">
        <f aca="false">J12*J14</f>
        <v>398852766</v>
      </c>
      <c r="K17" s="49" t="n">
        <f aca="false">K12*K14</f>
        <v>800169435</v>
      </c>
      <c r="L17" s="49" t="n">
        <f aca="false">L12*L14</f>
        <v>1605256380</v>
      </c>
      <c r="M17" s="49" t="n">
        <f aca="false">M12*M14</f>
        <v>3220363575</v>
      </c>
      <c r="N17" s="45" t="n">
        <f aca="false">SUM(B17:M17)</f>
        <v>6418267011</v>
      </c>
    </row>
    <row r="19" customFormat="false" ht="15" hidden="false" customHeight="true" outlineLevel="0" collapsed="false">
      <c r="A19" s="46" t="s">
        <v>222</v>
      </c>
    </row>
    <row r="20" customFormat="false" ht="15" hidden="false" customHeight="true" outlineLevel="0" collapsed="false">
      <c r="A20" s="47" t="s">
        <v>223</v>
      </c>
      <c r="B20" s="51" t="s">
        <v>224</v>
      </c>
      <c r="C20" s="51" t="s">
        <v>224</v>
      </c>
      <c r="D20" s="51" t="s">
        <v>225</v>
      </c>
      <c r="E20" s="51" t="s">
        <v>225</v>
      </c>
      <c r="F20" s="51" t="s">
        <v>226</v>
      </c>
      <c r="G20" s="51" t="s">
        <v>227</v>
      </c>
      <c r="H20" s="51" t="s">
        <v>227</v>
      </c>
      <c r="I20" s="51" t="s">
        <v>228</v>
      </c>
      <c r="J20" s="51" t="s">
        <v>229</v>
      </c>
      <c r="K20" s="51" t="s">
        <v>230</v>
      </c>
      <c r="L20" s="51" t="s">
        <v>231</v>
      </c>
      <c r="M20" s="51" t="s">
        <v>232</v>
      </c>
    </row>
    <row r="21" customFormat="false" ht="15" hidden="false" customHeight="true" outlineLevel="0" collapsed="false">
      <c r="A21" s="47" t="s">
        <v>233</v>
      </c>
      <c r="B21" s="49" t="n">
        <f aca="false">ROUND(B12*B14*0.07,0)</f>
        <v>72604</v>
      </c>
      <c r="C21" s="49" t="n">
        <f aca="false">ROUND(C12*C14*0.07,0)</f>
        <v>191834</v>
      </c>
      <c r="D21" s="49" t="n">
        <f aca="false">ROUND(D12*D14*0.07,0)</f>
        <v>414619</v>
      </c>
      <c r="E21" s="49" t="n">
        <f aca="false">ROUND(E12*E14*0.065,0)</f>
        <v>789688</v>
      </c>
      <c r="F21" s="49" t="n">
        <f aca="false">ROUND(F12*F14*0.065,0)</f>
        <v>1595453</v>
      </c>
      <c r="G21" s="49" t="n">
        <f aca="false">ROUND(G12*G14*0.06,0)</f>
        <v>2961092</v>
      </c>
      <c r="H21" s="49" t="n">
        <f aca="false">ROUND(H12*H14*0.06,0)</f>
        <v>5944452</v>
      </c>
      <c r="I21" s="49" t="n">
        <f aca="false">ROUND(I12*I14*0.055,0)</f>
        <v>10934210</v>
      </c>
      <c r="J21" s="49" t="n">
        <f aca="false">ROUND(J12*J14*0.05,0)</f>
        <v>19942638</v>
      </c>
      <c r="K21" s="49" t="n">
        <f aca="false">ROUND(K12*K14*0.05,0)</f>
        <v>40008472</v>
      </c>
      <c r="L21" s="49" t="n">
        <f aca="false">ROUND(L12*L14*0.045,0)</f>
        <v>72236537</v>
      </c>
      <c r="M21" s="49" t="n">
        <f aca="false">ROUND(M12*M14*0.04,0)</f>
        <v>128814543</v>
      </c>
      <c r="N21" s="45" t="n">
        <f aca="false">SUM(B21:M21)</f>
        <v>283906142</v>
      </c>
    </row>
    <row r="22" customFormat="false" ht="15" hidden="false" customHeight="true" outlineLevel="0" collapsed="false">
      <c r="A22" s="47" t="s">
        <v>234</v>
      </c>
      <c r="B22" s="52" t="n">
        <v>75000</v>
      </c>
      <c r="C22" s="52" t="n">
        <v>75000</v>
      </c>
      <c r="D22" s="52" t="n">
        <v>100000</v>
      </c>
      <c r="E22" s="52" t="n">
        <v>100000</v>
      </c>
      <c r="F22" s="52" t="n">
        <v>125000</v>
      </c>
      <c r="G22" s="52" t="n">
        <v>150000</v>
      </c>
      <c r="H22" s="52" t="n">
        <v>150000</v>
      </c>
      <c r="I22" s="52" t="n">
        <v>175000</v>
      </c>
      <c r="J22" s="52" t="n">
        <v>200000</v>
      </c>
      <c r="K22" s="52" t="n">
        <v>225000</v>
      </c>
      <c r="L22" s="52" t="n">
        <v>250000</v>
      </c>
      <c r="M22" s="52" t="n">
        <v>300000</v>
      </c>
      <c r="N22" s="45" t="n">
        <f aca="false">SUM(B22:M22)</f>
        <v>1925000</v>
      </c>
    </row>
    <row r="23" customFormat="false" ht="15" hidden="false" customHeight="true" outlineLevel="0" collapsed="false">
      <c r="A23" s="47" t="s">
        <v>235</v>
      </c>
      <c r="B23" s="49" t="n">
        <f aca="false">ROUND(B12*2.5+B12*B14*0.09,0)</f>
        <v>115511</v>
      </c>
      <c r="C23" s="49" t="n">
        <f aca="false">ROUND(C12*2.5+C12*C14*0.09,0)</f>
        <v>305202</v>
      </c>
      <c r="D23" s="49" t="n">
        <f aca="false">ROUND(D12*3+D12*D14*0.09,0)</f>
        <v>684956</v>
      </c>
      <c r="E23" s="49" t="n">
        <f aca="false">ROUND(E12*3+E12*E14*0.105,0)</f>
        <v>1587164</v>
      </c>
      <c r="F23" s="49" t="n">
        <f aca="false">ROUND(F12*3.5+F12*F14*0.105,0)</f>
        <v>3311535</v>
      </c>
      <c r="G23" s="49" t="n">
        <f aca="false">ROUND(G12*4+G12*G14*0.12,0)</f>
        <v>7609416</v>
      </c>
      <c r="H23" s="49" t="n">
        <f aca="false">ROUND(H12*4+H12*H14*0.12,0)</f>
        <v>15276056</v>
      </c>
      <c r="I23" s="49" t="n">
        <f aca="false">ROUND(I12*4.5+I12*I14*0.135,0)</f>
        <v>34484818</v>
      </c>
      <c r="J23" s="49" t="n">
        <f aca="false">ROUND(J12*5+J12*J14*0.14,0)</f>
        <v>72884377</v>
      </c>
      <c r="K23" s="49" t="n">
        <f aca="false">ROUND(K12*5+K12*K14*0.14,0)</f>
        <v>146218996</v>
      </c>
      <c r="L23" s="49" t="n">
        <f aca="false">ROUND(L12*5.5+L12*L14*0.155,0)</f>
        <v>324275509</v>
      </c>
      <c r="M23" s="49" t="n">
        <f aca="false">ROUND(M12*6+M12*M14*0.16,0)</f>
        <v>680405022</v>
      </c>
      <c r="N23" s="45" t="n">
        <f aca="false">SUM(B23:M23)</f>
        <v>1287158562</v>
      </c>
    </row>
    <row r="24" customFormat="false" ht="15" hidden="false" customHeight="true" outlineLevel="0" collapsed="false">
      <c r="A24" s="47" t="s">
        <v>236</v>
      </c>
      <c r="B24" s="52" t="n">
        <v>18000</v>
      </c>
      <c r="C24" s="52" t="n">
        <v>18000</v>
      </c>
      <c r="D24" s="52" t="n">
        <v>24000</v>
      </c>
      <c r="E24" s="52" t="n">
        <v>24000</v>
      </c>
      <c r="F24" s="52" t="n">
        <v>30000</v>
      </c>
      <c r="G24" s="52" t="n">
        <v>36000</v>
      </c>
      <c r="H24" s="52" t="n">
        <v>36000</v>
      </c>
      <c r="I24" s="52" t="n">
        <v>42000</v>
      </c>
      <c r="J24" s="52" t="n">
        <v>48000</v>
      </c>
      <c r="K24" s="52" t="n">
        <v>54000</v>
      </c>
      <c r="L24" s="52" t="n">
        <v>60000</v>
      </c>
      <c r="M24" s="52" t="n">
        <v>72000</v>
      </c>
      <c r="N24" s="45" t="n">
        <f aca="false">SUM(B24:M24)</f>
        <v>462000</v>
      </c>
    </row>
    <row r="25" customFormat="false" ht="15" hidden="false" customHeight="true" outlineLevel="0" collapsed="false">
      <c r="A25" s="47" t="s">
        <v>237</v>
      </c>
      <c r="B25" s="52" t="n">
        <v>24000</v>
      </c>
      <c r="C25" s="52" t="n">
        <v>24000</v>
      </c>
      <c r="D25" s="52" t="n">
        <v>36000</v>
      </c>
      <c r="E25" s="52" t="n">
        <v>36000</v>
      </c>
      <c r="F25" s="52" t="n">
        <v>48000</v>
      </c>
      <c r="G25" s="52" t="n">
        <v>60000</v>
      </c>
      <c r="H25" s="52" t="n">
        <v>60000</v>
      </c>
      <c r="I25" s="52" t="n">
        <v>72000</v>
      </c>
      <c r="J25" s="52" t="n">
        <v>84000</v>
      </c>
      <c r="K25" s="52" t="n">
        <v>96000</v>
      </c>
      <c r="L25" s="52" t="n">
        <v>108000</v>
      </c>
      <c r="M25" s="52" t="n">
        <v>120000</v>
      </c>
      <c r="N25" s="45" t="n">
        <f aca="false">SUM(B25:M25)</f>
        <v>768000</v>
      </c>
    </row>
    <row r="26" customFormat="false" ht="15" hidden="false" customHeight="true" outlineLevel="0" collapsed="false">
      <c r="A26" s="47" t="s">
        <v>238</v>
      </c>
      <c r="B26" s="48" t="n">
        <f aca="false">ROUND(B7*Varsayimlar!D54*29,0)</f>
        <v>5075</v>
      </c>
      <c r="C26" s="48" t="n">
        <f aca="false">ROUND(C7*Varsayimlar!D54*29,0)</f>
        <v>13421</v>
      </c>
      <c r="D26" s="48" t="n">
        <f aca="false">ROUND(D7*Varsayimlar!D54*29,0)</f>
        <v>28991</v>
      </c>
      <c r="E26" s="48" t="n">
        <f aca="false">ROUND(E7*Varsayimlar!D54*29,0)</f>
        <v>59483</v>
      </c>
      <c r="F26" s="48" t="n">
        <f aca="false">ROUND(F7*Varsayimlar!D54*29,0)</f>
        <v>120175</v>
      </c>
      <c r="G26" s="48" t="n">
        <f aca="false">ROUND(G7*Varsayimlar!D54*29,0)</f>
        <v>241625</v>
      </c>
      <c r="H26" s="48" t="n">
        <f aca="false">ROUND(H7*Varsayimlar!D54*29,0)</f>
        <v>485077</v>
      </c>
      <c r="I26" s="48" t="n">
        <f aca="false">ROUND(I7*Varsayimlar!D54*29,0)</f>
        <v>973347</v>
      </c>
      <c r="J26" s="48" t="n">
        <f aca="false">ROUND(J7*Varsayimlar!D54*29,0)</f>
        <v>1952806</v>
      </c>
      <c r="K26" s="48" t="n">
        <f aca="false">ROUND(K7*Varsayimlar!D54*29,0)</f>
        <v>3917678</v>
      </c>
      <c r="L26" s="48" t="n">
        <f aca="false">ROUND(L7*Varsayimlar!D54*29,0)</f>
        <v>7859438</v>
      </c>
      <c r="M26" s="48" t="n">
        <f aca="false">ROUND(M7*Varsayimlar!D54*29,0)</f>
        <v>15767106</v>
      </c>
      <c r="N26" s="45" t="n">
        <f aca="false">SUM(B26:M26)</f>
        <v>31424222</v>
      </c>
    </row>
    <row r="27" customFormat="false" ht="15" hidden="false" customHeight="true" outlineLevel="0" collapsed="false">
      <c r="A27" s="47" t="s">
        <v>239</v>
      </c>
      <c r="B27" s="52" t="n">
        <v>0</v>
      </c>
      <c r="C27" s="52" t="n">
        <v>0</v>
      </c>
      <c r="D27" s="52" t="n">
        <v>2500</v>
      </c>
      <c r="E27" s="52" t="n">
        <v>5000</v>
      </c>
      <c r="F27" s="52" t="n">
        <v>7500</v>
      </c>
      <c r="G27" s="52" t="n">
        <v>12500</v>
      </c>
      <c r="H27" s="52" t="n">
        <v>15000</v>
      </c>
      <c r="I27" s="52" t="n">
        <v>20000</v>
      </c>
      <c r="J27" s="52" t="n">
        <v>25000</v>
      </c>
      <c r="K27" s="52" t="n">
        <v>30000</v>
      </c>
      <c r="L27" s="52" t="n">
        <v>32500</v>
      </c>
      <c r="M27" s="52" t="n">
        <v>37500</v>
      </c>
      <c r="N27" s="45" t="n">
        <f aca="false">SUM(B27:M27)</f>
        <v>187500</v>
      </c>
    </row>
    <row r="28" customFormat="false" ht="15" hidden="false" customHeight="true" outlineLevel="0" collapsed="false">
      <c r="A28" s="47" t="s">
        <v>240</v>
      </c>
      <c r="B28" s="52" t="n">
        <f aca="false">0*Varsayimlar!D57*B14*0.05+0*15000</f>
        <v>0</v>
      </c>
      <c r="C28" s="52" t="n">
        <f aca="false">0*Varsayimlar!D57*C14*0.05+0*15000</f>
        <v>0</v>
      </c>
      <c r="D28" s="49" t="n">
        <f aca="false">1*Varsayimlar!D57*D14*0.05+1*15000</f>
        <v>15877.5</v>
      </c>
      <c r="E28" s="49" t="n">
        <f aca="false">1*Varsayimlar!D57*E14*0.05+1*15000</f>
        <v>15877.5</v>
      </c>
      <c r="F28" s="49" t="n">
        <f aca="false">2*Varsayimlar!D57*F14*0.05+2*15000</f>
        <v>31755</v>
      </c>
      <c r="G28" s="49" t="n">
        <f aca="false">3*Varsayimlar!D57*G14*0.05+3*15000</f>
        <v>47632.5</v>
      </c>
      <c r="H28" s="49" t="n">
        <f aca="false">3*Varsayimlar!D57*H14*0.05+3*15000</f>
        <v>47632.5</v>
      </c>
      <c r="I28" s="49" t="n">
        <f aca="false">4*Varsayimlar!D57*I14*0.05+4*15000</f>
        <v>63510</v>
      </c>
      <c r="J28" s="49" t="n">
        <f aca="false">5*Varsayimlar!D57*J14*0.05+5*15000</f>
        <v>79387.5</v>
      </c>
      <c r="K28" s="49" t="n">
        <f aca="false">6*Varsayimlar!D57*K14*0.05+6*15000</f>
        <v>95265</v>
      </c>
      <c r="L28" s="49" t="n">
        <f aca="false">7*Varsayimlar!D57*L14*0.05+7*15000</f>
        <v>111142.5</v>
      </c>
      <c r="M28" s="49" t="n">
        <f aca="false">8*Varsayimlar!D57*M14*0.05+8*15000</f>
        <v>127020</v>
      </c>
      <c r="N28" s="45" t="n">
        <f aca="false">SUM(B28:M28)</f>
        <v>635100</v>
      </c>
    </row>
    <row r="29" customFormat="false" ht="15" hidden="false" customHeight="true" outlineLevel="0" collapsed="false">
      <c r="A29" s="53" t="s">
        <v>241</v>
      </c>
      <c r="B29" s="45" t="n">
        <f aca="false">SUM(B21:B28)</f>
        <v>310190</v>
      </c>
      <c r="C29" s="45" t="n">
        <f aca="false">SUM(C21:C28)</f>
        <v>627457</v>
      </c>
      <c r="D29" s="45" t="n">
        <f aca="false">SUM(D21:D28)</f>
        <v>1306943.5</v>
      </c>
      <c r="E29" s="45" t="n">
        <f aca="false">SUM(E21:E28)</f>
        <v>2617212.5</v>
      </c>
      <c r="F29" s="45" t="n">
        <f aca="false">SUM(F21:F28)</f>
        <v>5269418</v>
      </c>
      <c r="G29" s="45" t="n">
        <f aca="false">SUM(G21:G28)</f>
        <v>11118265.5</v>
      </c>
      <c r="H29" s="45" t="n">
        <f aca="false">SUM(H21:H28)</f>
        <v>22014217.5</v>
      </c>
      <c r="I29" s="45" t="n">
        <f aca="false">SUM(I21:I28)</f>
        <v>46764885</v>
      </c>
      <c r="J29" s="45" t="n">
        <f aca="false">SUM(J21:J28)</f>
        <v>95216208.5</v>
      </c>
      <c r="K29" s="45" t="n">
        <f aca="false">SUM(K21:K28)</f>
        <v>190645411</v>
      </c>
      <c r="L29" s="45" t="n">
        <f aca="false">SUM(L21:L28)</f>
        <v>404933126.5</v>
      </c>
      <c r="M29" s="45" t="n">
        <f aca="false">SUM(M21:M28)</f>
        <v>825643191</v>
      </c>
      <c r="N29" s="45" t="n">
        <f aca="false">SUM(N21:N28)</f>
        <v>1606466526</v>
      </c>
      <c r="O29" s="54"/>
    </row>
    <row r="30" customFormat="false" ht="15" hidden="false" customHeight="true" outlineLevel="0" collapsed="false">
      <c r="N30" s="55" t="n">
        <f aca="false">N29/42</f>
        <v>38249203</v>
      </c>
    </row>
    <row r="31" customFormat="false" ht="15" hidden="false" customHeight="true" outlineLevel="0" collapsed="false">
      <c r="A31" s="46" t="s">
        <v>242</v>
      </c>
    </row>
    <row r="32" customFormat="false" ht="15" hidden="false" customHeight="true" outlineLevel="0" collapsed="false">
      <c r="A32" s="47" t="s">
        <v>243</v>
      </c>
      <c r="B32" s="56" t="n">
        <f aca="false">IF(B17=0,0,B21/B17)</f>
        <v>0.0699996625546541</v>
      </c>
      <c r="C32" s="56" t="n">
        <f aca="false">IF(C17=0,0,C21/C17)</f>
        <v>0.0699998649876975</v>
      </c>
      <c r="D32" s="56" t="n">
        <f aca="false">IF(D17=0,0,D21/D17)</f>
        <v>0.0700000422074496</v>
      </c>
      <c r="E32" s="56" t="n">
        <f aca="false">IF(E17=0,0,E21/E17)</f>
        <v>0.0650000008231099</v>
      </c>
      <c r="F32" s="56" t="n">
        <f aca="false">IF(F17=0,0,F21/F17)</f>
        <v>0.0650000020370391</v>
      </c>
      <c r="G32" s="56" t="n">
        <f aca="false">IF(G17=0,0,G21/G17)</f>
        <v>0.059999996757953</v>
      </c>
      <c r="H32" s="56" t="n">
        <f aca="false">IF(H17=0,0,H21/H17)</f>
        <v>0.0600000024224269</v>
      </c>
      <c r="I32" s="56" t="n">
        <f aca="false">IF(I17=0,0,I21/I17)</f>
        <v>0.0549999978370638</v>
      </c>
      <c r="J32" s="56" t="n">
        <f aca="false">IF(J17=0,0,J21/J17)</f>
        <v>0.0499999992478428</v>
      </c>
      <c r="K32" s="56" t="n">
        <f aca="false">IF(K17=0,0,K21/K17)</f>
        <v>0.0500000003124338</v>
      </c>
      <c r="L32" s="56" t="n">
        <f aca="false">IF(L17=0,0,L21/L17)</f>
        <v>0.0449999999377047</v>
      </c>
      <c r="M32" s="56" t="n">
        <f aca="false">IF(M17=0,0,M21/M17)</f>
        <v>0.04</v>
      </c>
    </row>
    <row r="33" customFormat="false" ht="15" hidden="false" customHeight="true" outlineLevel="0" collapsed="false">
      <c r="A33" s="47" t="s">
        <v>244</v>
      </c>
      <c r="B33" s="57" t="n">
        <v>2.5</v>
      </c>
      <c r="C33" s="57" t="n">
        <v>2.5</v>
      </c>
      <c r="D33" s="57" t="n">
        <v>3</v>
      </c>
      <c r="E33" s="57" t="n">
        <v>3</v>
      </c>
      <c r="F33" s="57" t="n">
        <v>3.5</v>
      </c>
      <c r="G33" s="57" t="n">
        <v>4</v>
      </c>
      <c r="H33" s="57" t="n">
        <v>4</v>
      </c>
      <c r="I33" s="57" t="n">
        <v>4.5</v>
      </c>
      <c r="J33" s="57" t="n">
        <v>5</v>
      </c>
      <c r="K33" s="57" t="n">
        <v>5</v>
      </c>
      <c r="L33" s="57" t="n">
        <v>5.5</v>
      </c>
      <c r="M33" s="57" t="n">
        <v>6</v>
      </c>
    </row>
    <row r="34" customFormat="false" ht="15" hidden="false" customHeight="true" outlineLevel="0" collapsed="false">
      <c r="A34" s="47" t="s">
        <v>245</v>
      </c>
      <c r="B34" s="58" t="n">
        <v>0.09</v>
      </c>
      <c r="C34" s="58" t="n">
        <v>0.09</v>
      </c>
      <c r="D34" s="58" t="n">
        <v>0.09</v>
      </c>
      <c r="E34" s="58" t="n">
        <v>0.105</v>
      </c>
      <c r="F34" s="58" t="n">
        <v>0.105</v>
      </c>
      <c r="G34" s="58" t="n">
        <v>0.12</v>
      </c>
      <c r="H34" s="58" t="n">
        <v>0.12</v>
      </c>
      <c r="I34" s="58" t="n">
        <v>0.135</v>
      </c>
      <c r="J34" s="58" t="n">
        <v>0.14</v>
      </c>
      <c r="K34" s="58" t="n">
        <v>0.14</v>
      </c>
      <c r="L34" s="58" t="n">
        <v>0.155</v>
      </c>
      <c r="M34" s="58" t="n">
        <v>0.16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51" activeCellId="0" sqref="N5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4" min="2" style="1" width="15"/>
  </cols>
  <sheetData>
    <row r="1" customFormat="false" ht="17.25" hidden="false" customHeight="true" outlineLevel="0" collapsed="false">
      <c r="A1" s="43" t="s">
        <v>250</v>
      </c>
    </row>
    <row r="2" customFormat="false" ht="15" hidden="false" customHeight="true" outlineLevel="0" collapsed="false">
      <c r="A2" s="44" t="s">
        <v>251</v>
      </c>
    </row>
    <row r="3" customFormat="false" ht="15" hidden="false" customHeight="true" outlineLevel="0" collapsed="false">
      <c r="B3" s="45" t="s">
        <v>196</v>
      </c>
      <c r="C3" s="45" t="s">
        <v>197</v>
      </c>
      <c r="D3" s="45" t="s">
        <v>198</v>
      </c>
      <c r="E3" s="45" t="s">
        <v>199</v>
      </c>
      <c r="F3" s="45" t="s">
        <v>200</v>
      </c>
      <c r="G3" s="45" t="s">
        <v>201</v>
      </c>
      <c r="H3" s="45" t="s">
        <v>202</v>
      </c>
      <c r="I3" s="45" t="s">
        <v>203</v>
      </c>
      <c r="J3" s="45" t="s">
        <v>204</v>
      </c>
      <c r="K3" s="45" t="s">
        <v>205</v>
      </c>
      <c r="L3" s="45" t="s">
        <v>206</v>
      </c>
      <c r="M3" s="45" t="s">
        <v>207</v>
      </c>
      <c r="N3" s="45" t="s">
        <v>208</v>
      </c>
    </row>
    <row r="4" customFormat="false" ht="15" hidden="false" customHeight="true" outlineLevel="0" collapsed="false">
      <c r="A4" s="46" t="s">
        <v>252</v>
      </c>
    </row>
    <row r="5" customFormat="false" ht="15" hidden="false" customHeight="true" outlineLevel="0" collapsed="false">
      <c r="A5" s="47" t="s">
        <v>253</v>
      </c>
      <c r="B5" s="52" t="n">
        <v>400000</v>
      </c>
      <c r="C5" s="52" t="n">
        <v>400000</v>
      </c>
      <c r="D5" s="52" t="n">
        <v>400000</v>
      </c>
      <c r="E5" s="52" t="n">
        <v>400000</v>
      </c>
      <c r="F5" s="52" t="n">
        <v>400000</v>
      </c>
      <c r="G5" s="52" t="n">
        <v>400000</v>
      </c>
      <c r="H5" s="52" t="n">
        <v>400000</v>
      </c>
      <c r="I5" s="52" t="n">
        <v>400000</v>
      </c>
      <c r="J5" s="52" t="n">
        <v>400000</v>
      </c>
      <c r="K5" s="52" t="n">
        <v>400000</v>
      </c>
      <c r="L5" s="52" t="n">
        <v>400000</v>
      </c>
      <c r="M5" s="52" t="n">
        <v>400000</v>
      </c>
      <c r="N5" s="45" t="n">
        <f aca="false">SUM(B5:M5)</f>
        <v>4800000</v>
      </c>
    </row>
    <row r="6" customFormat="false" ht="15" hidden="false" customHeight="true" outlineLevel="0" collapsed="false">
      <c r="A6" s="47" t="s">
        <v>254</v>
      </c>
      <c r="B6" s="52" t="n">
        <v>300000</v>
      </c>
      <c r="C6" s="52" t="n">
        <v>300000</v>
      </c>
      <c r="D6" s="52" t="n">
        <v>300000</v>
      </c>
      <c r="E6" s="52" t="n">
        <v>300000</v>
      </c>
      <c r="F6" s="52" t="n">
        <v>300000</v>
      </c>
      <c r="G6" s="52" t="n">
        <v>300000</v>
      </c>
      <c r="H6" s="52" t="n">
        <v>300000</v>
      </c>
      <c r="I6" s="52" t="n">
        <v>300000</v>
      </c>
      <c r="J6" s="52" t="n">
        <v>300000</v>
      </c>
      <c r="K6" s="52" t="n">
        <v>300000</v>
      </c>
      <c r="L6" s="52" t="n">
        <v>300000</v>
      </c>
      <c r="M6" s="52" t="n">
        <v>300000</v>
      </c>
      <c r="N6" s="45" t="n">
        <f aca="false">SUM(B6:M6)</f>
        <v>3600000</v>
      </c>
    </row>
    <row r="7" customFormat="false" ht="15" hidden="false" customHeight="true" outlineLevel="0" collapsed="false">
      <c r="A7" s="47" t="s">
        <v>255</v>
      </c>
      <c r="B7" s="52" t="n">
        <v>229500</v>
      </c>
      <c r="C7" s="52" t="n">
        <v>229500</v>
      </c>
      <c r="D7" s="52" t="n">
        <v>229500</v>
      </c>
      <c r="E7" s="52" t="n">
        <v>229500</v>
      </c>
      <c r="F7" s="52" t="n">
        <v>229500</v>
      </c>
      <c r="G7" s="52" t="n">
        <v>229500</v>
      </c>
      <c r="H7" s="52" t="n">
        <v>229500</v>
      </c>
      <c r="I7" s="52" t="n">
        <v>229500</v>
      </c>
      <c r="J7" s="52" t="n">
        <v>229500</v>
      </c>
      <c r="K7" s="52" t="n">
        <v>229500</v>
      </c>
      <c r="L7" s="52" t="n">
        <v>229500</v>
      </c>
      <c r="M7" s="52" t="n">
        <v>229500</v>
      </c>
      <c r="N7" s="45" t="n">
        <f aca="false">SUM(B7:M7)</f>
        <v>2754000</v>
      </c>
    </row>
    <row r="8" customFormat="false" ht="15" hidden="false" customHeight="true" outlineLevel="0" collapsed="false">
      <c r="A8" s="47" t="s">
        <v>256</v>
      </c>
      <c r="B8" s="52" t="n">
        <v>216000</v>
      </c>
      <c r="C8" s="52" t="n">
        <v>216000</v>
      </c>
      <c r="D8" s="52" t="n">
        <v>216000</v>
      </c>
      <c r="E8" s="52" t="n">
        <v>216000</v>
      </c>
      <c r="F8" s="52" t="n">
        <v>216000</v>
      </c>
      <c r="G8" s="52" t="n">
        <v>216000</v>
      </c>
      <c r="H8" s="52" t="n">
        <v>216000</v>
      </c>
      <c r="I8" s="52" t="n">
        <v>216000</v>
      </c>
      <c r="J8" s="52" t="n">
        <v>216000</v>
      </c>
      <c r="K8" s="52" t="n">
        <v>216000</v>
      </c>
      <c r="L8" s="52" t="n">
        <v>216000</v>
      </c>
      <c r="M8" s="52" t="n">
        <v>216000</v>
      </c>
      <c r="N8" s="45" t="n">
        <f aca="false">SUM(B8:M8)</f>
        <v>2592000</v>
      </c>
    </row>
    <row r="9" customFormat="false" ht="15" hidden="false" customHeight="true" outlineLevel="0" collapsed="false">
      <c r="A9" s="47" t="s">
        <v>257</v>
      </c>
      <c r="B9" s="52" t="n">
        <v>175500</v>
      </c>
      <c r="C9" s="52" t="n">
        <v>175500</v>
      </c>
      <c r="D9" s="52" t="n">
        <v>175500</v>
      </c>
      <c r="E9" s="52" t="n">
        <v>175500</v>
      </c>
      <c r="F9" s="52" t="n">
        <v>175500</v>
      </c>
      <c r="G9" s="52" t="n">
        <v>175500</v>
      </c>
      <c r="H9" s="52" t="n">
        <v>175500</v>
      </c>
      <c r="I9" s="52" t="n">
        <v>175500</v>
      </c>
      <c r="J9" s="52" t="n">
        <v>175500</v>
      </c>
      <c r="K9" s="52" t="n">
        <v>175500</v>
      </c>
      <c r="L9" s="52" t="n">
        <v>175500</v>
      </c>
      <c r="M9" s="52" t="n">
        <v>175500</v>
      </c>
      <c r="N9" s="45" t="n">
        <f aca="false">SUM(B9:M9)</f>
        <v>2106000</v>
      </c>
    </row>
    <row r="10" customFormat="false" ht="15" hidden="false" customHeight="true" outlineLevel="0" collapsed="false">
      <c r="A10" s="47" t="s">
        <v>258</v>
      </c>
      <c r="B10" s="52" t="n">
        <v>0</v>
      </c>
      <c r="C10" s="52" t="n">
        <v>0</v>
      </c>
      <c r="D10" s="52" t="n">
        <v>243000</v>
      </c>
      <c r="E10" s="52" t="n">
        <v>243000</v>
      </c>
      <c r="F10" s="52" t="n">
        <v>243000</v>
      </c>
      <c r="G10" s="52" t="n">
        <v>243000</v>
      </c>
      <c r="H10" s="52" t="n">
        <v>243000</v>
      </c>
      <c r="I10" s="52" t="n">
        <v>243000</v>
      </c>
      <c r="J10" s="52" t="n">
        <v>243000</v>
      </c>
      <c r="K10" s="52" t="n">
        <v>243000</v>
      </c>
      <c r="L10" s="52" t="n">
        <v>243000</v>
      </c>
      <c r="M10" s="52" t="n">
        <v>243000</v>
      </c>
      <c r="N10" s="45" t="n">
        <f aca="false">SUM(B10:M10)</f>
        <v>2430000</v>
      </c>
    </row>
    <row r="11" customFormat="false" ht="15" hidden="false" customHeight="true" outlineLevel="0" collapsed="false">
      <c r="A11" s="47" t="s">
        <v>259</v>
      </c>
      <c r="B11" s="52" t="n">
        <v>216000</v>
      </c>
      <c r="C11" s="52" t="n">
        <v>216000</v>
      </c>
      <c r="D11" s="52" t="n">
        <v>216000</v>
      </c>
      <c r="E11" s="52" t="n">
        <v>216000</v>
      </c>
      <c r="F11" s="52" t="n">
        <v>216000</v>
      </c>
      <c r="G11" s="52" t="n">
        <v>216000</v>
      </c>
      <c r="H11" s="52" t="n">
        <v>216000</v>
      </c>
      <c r="I11" s="52" t="n">
        <v>216000</v>
      </c>
      <c r="J11" s="52" t="n">
        <v>216000</v>
      </c>
      <c r="K11" s="52" t="n">
        <v>216000</v>
      </c>
      <c r="L11" s="52" t="n">
        <v>216000</v>
      </c>
      <c r="M11" s="52" t="n">
        <v>216000</v>
      </c>
      <c r="N11" s="45" t="n">
        <f aca="false">SUM(B11:M11)</f>
        <v>2592000</v>
      </c>
    </row>
    <row r="12" customFormat="false" ht="15" hidden="false" customHeight="true" outlineLevel="0" collapsed="false">
      <c r="A12" s="47" t="s">
        <v>260</v>
      </c>
      <c r="B12" s="52" t="n">
        <v>121500</v>
      </c>
      <c r="C12" s="52" t="n">
        <v>121500</v>
      </c>
      <c r="D12" s="52" t="n">
        <v>121500</v>
      </c>
      <c r="E12" s="52" t="n">
        <v>121500</v>
      </c>
      <c r="F12" s="52" t="n">
        <v>121500</v>
      </c>
      <c r="G12" s="52" t="n">
        <v>121500</v>
      </c>
      <c r="H12" s="52" t="n">
        <v>121500</v>
      </c>
      <c r="I12" s="52" t="n">
        <v>121500</v>
      </c>
      <c r="J12" s="52" t="n">
        <v>121500</v>
      </c>
      <c r="K12" s="52" t="n">
        <v>121500</v>
      </c>
      <c r="L12" s="52" t="n">
        <v>121500</v>
      </c>
      <c r="M12" s="52" t="n">
        <v>121500</v>
      </c>
      <c r="N12" s="45" t="n">
        <f aca="false">SUM(B12:M12)</f>
        <v>1458000</v>
      </c>
    </row>
    <row r="13" customFormat="false" ht="15" hidden="false" customHeight="true" outlineLevel="0" collapsed="false">
      <c r="A13" s="47" t="s">
        <v>261</v>
      </c>
      <c r="B13" s="52" t="n">
        <v>0</v>
      </c>
      <c r="C13" s="52" t="n">
        <v>0</v>
      </c>
      <c r="D13" s="52" t="n">
        <v>0</v>
      </c>
      <c r="E13" s="52" t="n">
        <v>189000</v>
      </c>
      <c r="F13" s="52" t="n">
        <v>189000</v>
      </c>
      <c r="G13" s="52" t="n">
        <v>189000</v>
      </c>
      <c r="H13" s="52" t="n">
        <v>189000</v>
      </c>
      <c r="I13" s="52" t="n">
        <v>189000</v>
      </c>
      <c r="J13" s="52" t="n">
        <v>189000</v>
      </c>
      <c r="K13" s="52" t="n">
        <v>189000</v>
      </c>
      <c r="L13" s="52" t="n">
        <v>189000</v>
      </c>
      <c r="M13" s="52" t="n">
        <v>189000</v>
      </c>
      <c r="N13" s="45" t="n">
        <f aca="false">SUM(B13:M13)</f>
        <v>1701000</v>
      </c>
    </row>
    <row r="14" customFormat="false" ht="15" hidden="false" customHeight="true" outlineLevel="0" collapsed="false">
      <c r="A14" s="47" t="s">
        <v>262</v>
      </c>
      <c r="B14" s="52" t="n">
        <v>0</v>
      </c>
      <c r="C14" s="52" t="n">
        <v>0</v>
      </c>
      <c r="D14" s="52" t="n">
        <v>0</v>
      </c>
      <c r="E14" s="52" t="n">
        <v>0</v>
      </c>
      <c r="F14" s="52" t="n">
        <v>108000</v>
      </c>
      <c r="G14" s="52" t="n">
        <v>108000</v>
      </c>
      <c r="H14" s="52" t="n">
        <v>108000</v>
      </c>
      <c r="I14" s="52" t="n">
        <v>108000</v>
      </c>
      <c r="J14" s="52" t="n">
        <v>108000</v>
      </c>
      <c r="K14" s="52" t="n">
        <v>108000</v>
      </c>
      <c r="L14" s="52" t="n">
        <v>108000</v>
      </c>
      <c r="M14" s="52" t="n">
        <v>108000</v>
      </c>
      <c r="N14" s="45" t="n">
        <f aca="false">SUM(B14:M14)</f>
        <v>864000</v>
      </c>
    </row>
    <row r="15" customFormat="false" ht="15" hidden="false" customHeight="true" outlineLevel="0" collapsed="false">
      <c r="A15" s="47" t="s">
        <v>263</v>
      </c>
      <c r="B15" s="52" t="n">
        <v>0</v>
      </c>
      <c r="C15" s="52" t="n">
        <v>0</v>
      </c>
      <c r="D15" s="52" t="n">
        <v>0</v>
      </c>
      <c r="E15" s="52" t="n">
        <v>0</v>
      </c>
      <c r="F15" s="52" t="n">
        <v>0</v>
      </c>
      <c r="G15" s="52" t="n">
        <v>0</v>
      </c>
      <c r="H15" s="52" t="n">
        <v>0</v>
      </c>
      <c r="I15" s="52" t="n">
        <v>148500</v>
      </c>
      <c r="J15" s="52" t="n">
        <v>148500</v>
      </c>
      <c r="K15" s="52" t="n">
        <v>148500</v>
      </c>
      <c r="L15" s="52" t="n">
        <v>148500</v>
      </c>
      <c r="M15" s="52" t="n">
        <v>148500</v>
      </c>
      <c r="N15" s="45" t="n">
        <f aca="false">SUM(B15:M15)</f>
        <v>742500</v>
      </c>
    </row>
    <row r="16" customFormat="false" ht="15" hidden="false" customHeight="true" outlineLevel="0" collapsed="false">
      <c r="A16" s="47" t="s">
        <v>264</v>
      </c>
      <c r="B16" s="49" t="n">
        <v>7</v>
      </c>
      <c r="C16" s="49" t="n">
        <v>7</v>
      </c>
      <c r="D16" s="49" t="n">
        <v>8</v>
      </c>
      <c r="E16" s="49" t="n">
        <v>9</v>
      </c>
      <c r="F16" s="49" t="n">
        <v>10</v>
      </c>
      <c r="G16" s="49" t="n">
        <v>10</v>
      </c>
      <c r="H16" s="49" t="n">
        <v>10</v>
      </c>
      <c r="I16" s="49" t="n">
        <v>11</v>
      </c>
      <c r="J16" s="49" t="n">
        <v>11</v>
      </c>
      <c r="K16" s="49" t="n">
        <v>11</v>
      </c>
      <c r="L16" s="49" t="n">
        <v>11</v>
      </c>
      <c r="M16" s="49" t="n">
        <v>11</v>
      </c>
    </row>
    <row r="17" customFormat="false" ht="15" hidden="false" customHeight="true" outlineLevel="0" collapsed="false">
      <c r="A17" s="59" t="s">
        <v>265</v>
      </c>
      <c r="B17" s="45" t="n">
        <f aca="false">SUM(B5:B15)</f>
        <v>1658500</v>
      </c>
      <c r="C17" s="45" t="n">
        <f aca="false">SUM(C5:C15)</f>
        <v>1658500</v>
      </c>
      <c r="D17" s="45" t="n">
        <f aca="false">SUM(D5:D15)</f>
        <v>1901500</v>
      </c>
      <c r="E17" s="45" t="n">
        <f aca="false">SUM(E5:E15)</f>
        <v>2090500</v>
      </c>
      <c r="F17" s="45" t="n">
        <f aca="false">SUM(F5:F15)</f>
        <v>2198500</v>
      </c>
      <c r="G17" s="45" t="n">
        <f aca="false">SUM(G5:G15)</f>
        <v>2198500</v>
      </c>
      <c r="H17" s="45" t="n">
        <f aca="false">SUM(H5:H15)</f>
        <v>2198500</v>
      </c>
      <c r="I17" s="45" t="n">
        <f aca="false">SUM(I5:I15)</f>
        <v>2347000</v>
      </c>
      <c r="J17" s="45" t="n">
        <f aca="false">SUM(J5:J15)</f>
        <v>2347000</v>
      </c>
      <c r="K17" s="45" t="n">
        <f aca="false">SUM(K5:K15)</f>
        <v>2347000</v>
      </c>
      <c r="L17" s="45" t="n">
        <f aca="false">SUM(L5:L15)</f>
        <v>2347000</v>
      </c>
      <c r="M17" s="45" t="n">
        <f aca="false">SUM(M5:M15)</f>
        <v>2347000</v>
      </c>
      <c r="N17" s="45" t="n">
        <f aca="false">SUM(B17:M17)</f>
        <v>25639500</v>
      </c>
    </row>
    <row r="19" customFormat="false" ht="15" hidden="false" customHeight="true" outlineLevel="0" collapsed="false">
      <c r="A19" s="46" t="s">
        <v>266</v>
      </c>
    </row>
    <row r="20" customFormat="false" ht="15" hidden="false" customHeight="true" outlineLevel="0" collapsed="false">
      <c r="A20" s="47" t="s">
        <v>267</v>
      </c>
      <c r="B20" s="52" t="n">
        <v>15000</v>
      </c>
      <c r="C20" s="52" t="n">
        <v>18000</v>
      </c>
      <c r="D20" s="52" t="n">
        <v>22000</v>
      </c>
      <c r="E20" s="52" t="n">
        <v>28000</v>
      </c>
      <c r="F20" s="52" t="n">
        <v>35000</v>
      </c>
      <c r="G20" s="52" t="n">
        <v>45000</v>
      </c>
      <c r="H20" s="52" t="n">
        <v>55000</v>
      </c>
      <c r="I20" s="52" t="n">
        <v>70000</v>
      </c>
      <c r="J20" s="52" t="n">
        <v>85000</v>
      </c>
      <c r="K20" s="52" t="n">
        <v>100000</v>
      </c>
      <c r="L20" s="52" t="n">
        <v>120000</v>
      </c>
      <c r="M20" s="52" t="n">
        <v>145000</v>
      </c>
      <c r="N20" s="45" t="n">
        <f aca="false">SUM(B20:M20)</f>
        <v>738000</v>
      </c>
    </row>
    <row r="21" customFormat="false" ht="15" hidden="false" customHeight="true" outlineLevel="0" collapsed="false">
      <c r="A21" s="47" t="s">
        <v>268</v>
      </c>
      <c r="B21" s="52" t="n">
        <v>3000</v>
      </c>
      <c r="C21" s="52" t="n">
        <v>4000</v>
      </c>
      <c r="D21" s="52" t="n">
        <v>5000</v>
      </c>
      <c r="E21" s="52" t="n">
        <v>7000</v>
      </c>
      <c r="F21" s="52" t="n">
        <v>8000</v>
      </c>
      <c r="G21" s="52" t="n">
        <v>10000</v>
      </c>
      <c r="H21" s="52" t="n">
        <v>12000</v>
      </c>
      <c r="I21" s="52" t="n">
        <v>15000</v>
      </c>
      <c r="J21" s="52" t="n">
        <v>18000</v>
      </c>
      <c r="K21" s="52" t="n">
        <v>20000</v>
      </c>
      <c r="L21" s="52" t="n">
        <v>23000</v>
      </c>
      <c r="M21" s="52" t="n">
        <v>28000</v>
      </c>
      <c r="N21" s="45" t="n">
        <f aca="false">SUM(B21:M21)</f>
        <v>153000</v>
      </c>
    </row>
    <row r="22" customFormat="false" ht="15" hidden="false" customHeight="true" outlineLevel="0" collapsed="false">
      <c r="A22" s="47" t="s">
        <v>269</v>
      </c>
      <c r="B22" s="52" t="n">
        <v>5000</v>
      </c>
      <c r="C22" s="52" t="n">
        <v>5000</v>
      </c>
      <c r="D22" s="52" t="n">
        <v>8000</v>
      </c>
      <c r="E22" s="52" t="n">
        <v>8000</v>
      </c>
      <c r="F22" s="52" t="n">
        <v>10000</v>
      </c>
      <c r="G22" s="52" t="n">
        <v>12000</v>
      </c>
      <c r="H22" s="52" t="n">
        <v>12000</v>
      </c>
      <c r="I22" s="52" t="n">
        <v>15000</v>
      </c>
      <c r="J22" s="52" t="n">
        <v>18000</v>
      </c>
      <c r="K22" s="52" t="n">
        <v>18000</v>
      </c>
      <c r="L22" s="52" t="n">
        <v>22000</v>
      </c>
      <c r="M22" s="52" t="n">
        <v>25000</v>
      </c>
      <c r="N22" s="45" t="n">
        <f aca="false">SUM(B22:M22)</f>
        <v>158000</v>
      </c>
    </row>
    <row r="23" customFormat="false" ht="15" hidden="false" customHeight="true" outlineLevel="0" collapsed="false">
      <c r="A23" s="47" t="s">
        <v>270</v>
      </c>
      <c r="B23" s="52" t="n">
        <v>2000</v>
      </c>
      <c r="C23" s="52" t="n">
        <v>3000</v>
      </c>
      <c r="D23" s="52" t="n">
        <v>4000</v>
      </c>
      <c r="E23" s="52" t="n">
        <v>5000</v>
      </c>
      <c r="F23" s="52" t="n">
        <v>7000</v>
      </c>
      <c r="G23" s="52" t="n">
        <v>10000</v>
      </c>
      <c r="H23" s="52" t="n">
        <v>12000</v>
      </c>
      <c r="I23" s="52" t="n">
        <v>15000</v>
      </c>
      <c r="J23" s="52" t="n">
        <v>18000</v>
      </c>
      <c r="K23" s="52" t="n">
        <v>22000</v>
      </c>
      <c r="L23" s="52" t="n">
        <v>25000</v>
      </c>
      <c r="M23" s="52" t="n">
        <v>30000</v>
      </c>
      <c r="N23" s="45" t="n">
        <f aca="false">SUM(B23:M23)</f>
        <v>153000</v>
      </c>
    </row>
    <row r="24" customFormat="false" ht="15" hidden="false" customHeight="true" outlineLevel="0" collapsed="false">
      <c r="A24" s="47" t="s">
        <v>271</v>
      </c>
      <c r="B24" s="52" t="n">
        <v>5000</v>
      </c>
      <c r="C24" s="52" t="n">
        <v>5000</v>
      </c>
      <c r="D24" s="52" t="n">
        <v>5000</v>
      </c>
      <c r="E24" s="52" t="n">
        <v>5000</v>
      </c>
      <c r="F24" s="52" t="n">
        <v>5000</v>
      </c>
      <c r="G24" s="52" t="n">
        <v>5000</v>
      </c>
      <c r="H24" s="52" t="n">
        <v>5000</v>
      </c>
      <c r="I24" s="52" t="n">
        <v>5000</v>
      </c>
      <c r="J24" s="52" t="n">
        <v>5000</v>
      </c>
      <c r="K24" s="52" t="n">
        <v>5000</v>
      </c>
      <c r="L24" s="52" t="n">
        <v>5000</v>
      </c>
      <c r="M24" s="52" t="n">
        <v>5000</v>
      </c>
      <c r="N24" s="45" t="n">
        <f aca="false">SUM(B24:M24)</f>
        <v>60000</v>
      </c>
    </row>
    <row r="25" customFormat="false" ht="15" hidden="false" customHeight="true" outlineLevel="0" collapsed="false">
      <c r="A25" s="47" t="s">
        <v>272</v>
      </c>
      <c r="B25" s="52" t="n">
        <v>3000</v>
      </c>
      <c r="C25" s="52" t="n">
        <v>3000</v>
      </c>
      <c r="D25" s="52" t="n">
        <v>4000</v>
      </c>
      <c r="E25" s="52" t="n">
        <v>5000</v>
      </c>
      <c r="F25" s="52" t="n">
        <v>5000</v>
      </c>
      <c r="G25" s="52" t="n">
        <v>6000</v>
      </c>
      <c r="H25" s="52" t="n">
        <v>7000</v>
      </c>
      <c r="I25" s="52" t="n">
        <v>8000</v>
      </c>
      <c r="J25" s="52" t="n">
        <v>8000</v>
      </c>
      <c r="K25" s="52" t="n">
        <v>10000</v>
      </c>
      <c r="L25" s="52" t="n">
        <v>10000</v>
      </c>
      <c r="M25" s="52" t="n">
        <v>12000</v>
      </c>
      <c r="N25" s="45" t="n">
        <f aca="false">SUM(B25:M25)</f>
        <v>81000</v>
      </c>
    </row>
    <row r="26" customFormat="false" ht="15" hidden="false" customHeight="true" outlineLevel="0" collapsed="false">
      <c r="A26" s="47" t="s">
        <v>273</v>
      </c>
      <c r="B26" s="52" t="n">
        <v>5000</v>
      </c>
      <c r="C26" s="52" t="n">
        <v>5000</v>
      </c>
      <c r="D26" s="52" t="n">
        <v>8000</v>
      </c>
      <c r="E26" s="52" t="n">
        <v>8000</v>
      </c>
      <c r="F26" s="52" t="n">
        <v>10000</v>
      </c>
      <c r="G26" s="52" t="n">
        <v>12000</v>
      </c>
      <c r="H26" s="52" t="n">
        <v>12000</v>
      </c>
      <c r="I26" s="52" t="n">
        <v>15000</v>
      </c>
      <c r="J26" s="52" t="n">
        <v>15000</v>
      </c>
      <c r="K26" s="52" t="n">
        <v>18000</v>
      </c>
      <c r="L26" s="52" t="n">
        <v>18000</v>
      </c>
      <c r="M26" s="52" t="n">
        <v>20000</v>
      </c>
      <c r="N26" s="45" t="n">
        <f aca="false">SUM(B26:M26)</f>
        <v>146000</v>
      </c>
    </row>
    <row r="27" customFormat="false" ht="15" hidden="false" customHeight="true" outlineLevel="0" collapsed="false">
      <c r="A27" s="47" t="s">
        <v>274</v>
      </c>
      <c r="B27" s="52" t="n">
        <v>0</v>
      </c>
      <c r="C27" s="52" t="n">
        <v>0</v>
      </c>
      <c r="D27" s="52" t="n">
        <v>5000</v>
      </c>
      <c r="E27" s="52" t="n">
        <v>8000</v>
      </c>
      <c r="F27" s="52" t="n">
        <v>10000</v>
      </c>
      <c r="G27" s="52" t="n">
        <v>12000</v>
      </c>
      <c r="H27" s="52" t="n">
        <v>15000</v>
      </c>
      <c r="I27" s="52" t="n">
        <v>18000</v>
      </c>
      <c r="J27" s="52" t="n">
        <v>20000</v>
      </c>
      <c r="K27" s="52" t="n">
        <v>22000</v>
      </c>
      <c r="L27" s="52" t="n">
        <v>25000</v>
      </c>
      <c r="M27" s="52" t="n">
        <v>30000</v>
      </c>
      <c r="N27" s="45" t="n">
        <f aca="false">SUM(B27:M27)</f>
        <v>165000</v>
      </c>
    </row>
    <row r="28" customFormat="false" ht="15" hidden="false" customHeight="true" outlineLevel="0" collapsed="false">
      <c r="A28" s="59" t="s">
        <v>275</v>
      </c>
      <c r="B28" s="45" t="n">
        <f aca="false">SUM(B20:B27)</f>
        <v>38000</v>
      </c>
      <c r="C28" s="45" t="n">
        <f aca="false">SUM(C20:C27)</f>
        <v>43000</v>
      </c>
      <c r="D28" s="45" t="n">
        <f aca="false">SUM(D20:D27)</f>
        <v>61000</v>
      </c>
      <c r="E28" s="45" t="n">
        <f aca="false">SUM(E20:E27)</f>
        <v>74000</v>
      </c>
      <c r="F28" s="45" t="n">
        <f aca="false">SUM(F20:F27)</f>
        <v>90000</v>
      </c>
      <c r="G28" s="45" t="n">
        <f aca="false">SUM(G20:G27)</f>
        <v>112000</v>
      </c>
      <c r="H28" s="45" t="n">
        <f aca="false">SUM(H20:H27)</f>
        <v>130000</v>
      </c>
      <c r="I28" s="45" t="n">
        <f aca="false">SUM(I20:I27)</f>
        <v>161000</v>
      </c>
      <c r="J28" s="45" t="n">
        <f aca="false">SUM(J20:J27)</f>
        <v>187000</v>
      </c>
      <c r="K28" s="45" t="n">
        <f aca="false">SUM(K20:K27)</f>
        <v>215000</v>
      </c>
      <c r="L28" s="45" t="n">
        <f aca="false">SUM(L20:L27)</f>
        <v>248000</v>
      </c>
      <c r="M28" s="45" t="n">
        <f aca="false">SUM(M20:M27)</f>
        <v>295000</v>
      </c>
      <c r="N28" s="45" t="n">
        <f aca="false">SUM(B28:M28)</f>
        <v>1654000</v>
      </c>
    </row>
    <row r="30" customFormat="false" ht="15" hidden="false" customHeight="true" outlineLevel="0" collapsed="false">
      <c r="A30" s="46" t="s">
        <v>276</v>
      </c>
    </row>
    <row r="31" customFormat="false" ht="15" hidden="false" customHeight="true" outlineLevel="0" collapsed="false">
      <c r="A31" s="47" t="s">
        <v>277</v>
      </c>
      <c r="B31" s="52" t="n">
        <v>0</v>
      </c>
      <c r="C31" s="52" t="n">
        <v>0</v>
      </c>
      <c r="D31" s="52" t="n">
        <v>25000</v>
      </c>
      <c r="E31" s="52" t="n">
        <v>50000</v>
      </c>
      <c r="F31" s="52" t="n">
        <v>75000</v>
      </c>
      <c r="G31" s="52" t="n">
        <v>100000</v>
      </c>
      <c r="H31" s="52" t="n">
        <v>120000</v>
      </c>
      <c r="I31" s="52" t="n">
        <v>150000</v>
      </c>
      <c r="J31" s="52" t="n">
        <v>165000</v>
      </c>
      <c r="K31" s="52" t="n">
        <v>100000</v>
      </c>
      <c r="L31" s="52" t="n">
        <v>50000</v>
      </c>
      <c r="M31" s="52" t="n">
        <v>50000</v>
      </c>
      <c r="N31" s="45" t="n">
        <f aca="false">SUM(B31:M31)</f>
        <v>885000</v>
      </c>
    </row>
    <row r="32" customFormat="false" ht="15" hidden="false" customHeight="true" outlineLevel="0" collapsed="false">
      <c r="A32" s="47" t="s">
        <v>278</v>
      </c>
      <c r="B32" s="52" t="n">
        <v>50000</v>
      </c>
      <c r="C32" s="52" t="n">
        <v>50000</v>
      </c>
      <c r="D32" s="52" t="n">
        <v>30000</v>
      </c>
      <c r="E32" s="52" t="n">
        <v>25000</v>
      </c>
      <c r="F32" s="52" t="n">
        <v>25000</v>
      </c>
      <c r="G32" s="52" t="n">
        <v>25000</v>
      </c>
      <c r="H32" s="52" t="n">
        <v>20000</v>
      </c>
      <c r="I32" s="52" t="n">
        <v>20000</v>
      </c>
      <c r="J32" s="52" t="n">
        <v>20000</v>
      </c>
      <c r="K32" s="52" t="n">
        <v>25000</v>
      </c>
      <c r="L32" s="52" t="n">
        <v>25000</v>
      </c>
      <c r="M32" s="52" t="n">
        <v>15000</v>
      </c>
      <c r="N32" s="45" t="n">
        <f aca="false">SUM(B32:M32)</f>
        <v>330000</v>
      </c>
    </row>
    <row r="33" customFormat="false" ht="15" hidden="false" customHeight="true" outlineLevel="0" collapsed="false">
      <c r="A33" s="47" t="s">
        <v>279</v>
      </c>
      <c r="B33" s="52" t="n">
        <v>20000</v>
      </c>
      <c r="C33" s="52" t="n">
        <v>20000</v>
      </c>
      <c r="D33" s="52" t="n">
        <v>15000</v>
      </c>
      <c r="E33" s="52" t="n">
        <v>15000</v>
      </c>
      <c r="F33" s="52" t="n">
        <v>20000</v>
      </c>
      <c r="G33" s="52" t="n">
        <v>20000</v>
      </c>
      <c r="H33" s="52" t="n">
        <v>20000</v>
      </c>
      <c r="I33" s="52" t="n">
        <v>25000</v>
      </c>
      <c r="J33" s="52" t="n">
        <v>25000</v>
      </c>
      <c r="K33" s="52" t="n">
        <v>25000</v>
      </c>
      <c r="L33" s="52" t="n">
        <v>25000</v>
      </c>
      <c r="M33" s="52" t="n">
        <v>25000</v>
      </c>
      <c r="N33" s="45" t="n">
        <f aca="false">SUM(B33:M33)</f>
        <v>255000</v>
      </c>
    </row>
    <row r="34" customFormat="false" ht="15" hidden="false" customHeight="true" outlineLevel="0" collapsed="false">
      <c r="A34" s="47" t="s">
        <v>280</v>
      </c>
      <c r="B34" s="52" t="n">
        <v>0</v>
      </c>
      <c r="C34" s="52" t="n">
        <v>0</v>
      </c>
      <c r="D34" s="52" t="n">
        <v>0</v>
      </c>
      <c r="E34" s="52" t="n">
        <v>25000</v>
      </c>
      <c r="F34" s="52" t="n">
        <v>25000</v>
      </c>
      <c r="G34" s="52" t="n">
        <v>50000</v>
      </c>
      <c r="H34" s="52" t="n">
        <v>50000</v>
      </c>
      <c r="I34" s="52" t="n">
        <v>50000</v>
      </c>
      <c r="J34" s="52" t="n">
        <v>50000</v>
      </c>
      <c r="K34" s="52" t="n">
        <v>35000</v>
      </c>
      <c r="L34" s="52" t="n">
        <v>35000</v>
      </c>
      <c r="M34" s="52" t="n">
        <v>35000</v>
      </c>
      <c r="N34" s="45" t="n">
        <f aca="false">SUM(B34:M34)</f>
        <v>355000</v>
      </c>
    </row>
    <row r="35" customFormat="false" ht="15" hidden="false" customHeight="true" outlineLevel="0" collapsed="false">
      <c r="A35" s="47" t="s">
        <v>281</v>
      </c>
      <c r="B35" s="52" t="n">
        <v>100000</v>
      </c>
      <c r="C35" s="52" t="n">
        <v>0</v>
      </c>
      <c r="D35" s="52" t="n">
        <v>0</v>
      </c>
      <c r="E35" s="52" t="n">
        <v>0</v>
      </c>
      <c r="F35" s="52" t="n">
        <v>0</v>
      </c>
      <c r="G35" s="52" t="n">
        <v>30000</v>
      </c>
      <c r="H35" s="52" t="n">
        <v>0</v>
      </c>
      <c r="I35" s="52" t="n">
        <v>0</v>
      </c>
      <c r="J35" s="52" t="n">
        <v>0</v>
      </c>
      <c r="K35" s="52" t="n">
        <v>0</v>
      </c>
      <c r="L35" s="52" t="n">
        <v>0</v>
      </c>
      <c r="M35" s="52" t="n">
        <v>50000</v>
      </c>
      <c r="N35" s="45" t="n">
        <f aca="false">SUM(B35:M35)</f>
        <v>180000</v>
      </c>
    </row>
    <row r="36" customFormat="false" ht="15" hidden="false" customHeight="true" outlineLevel="0" collapsed="false">
      <c r="A36" s="59" t="s">
        <v>282</v>
      </c>
      <c r="B36" s="45" t="n">
        <f aca="false">SUM(B31:B35)</f>
        <v>170000</v>
      </c>
      <c r="C36" s="45" t="n">
        <f aca="false">SUM(C31:C35)</f>
        <v>70000</v>
      </c>
      <c r="D36" s="45" t="n">
        <f aca="false">SUM(D31:D35)</f>
        <v>70000</v>
      </c>
      <c r="E36" s="45" t="n">
        <f aca="false">SUM(E31:E35)</f>
        <v>115000</v>
      </c>
      <c r="F36" s="45" t="n">
        <f aca="false">SUM(F31:F35)</f>
        <v>145000</v>
      </c>
      <c r="G36" s="45" t="n">
        <f aca="false">SUM(G31:G35)</f>
        <v>225000</v>
      </c>
      <c r="H36" s="45" t="n">
        <f aca="false">SUM(H31:H35)</f>
        <v>210000</v>
      </c>
      <c r="I36" s="45" t="n">
        <f aca="false">SUM(I31:I35)</f>
        <v>245000</v>
      </c>
      <c r="J36" s="45" t="n">
        <f aca="false">SUM(J31:J35)</f>
        <v>260000</v>
      </c>
      <c r="K36" s="45" t="n">
        <f aca="false">SUM(K31:K35)</f>
        <v>185000</v>
      </c>
      <c r="L36" s="45" t="n">
        <f aca="false">SUM(L31:L35)</f>
        <v>135000</v>
      </c>
      <c r="M36" s="45" t="n">
        <f aca="false">SUM(M31:M35)</f>
        <v>175000</v>
      </c>
      <c r="N36" s="45" t="n">
        <f aca="false">SUM(B36:M36)</f>
        <v>2005000</v>
      </c>
    </row>
    <row r="38" customFormat="false" ht="15" hidden="false" customHeight="true" outlineLevel="0" collapsed="false">
      <c r="A38" s="46" t="s">
        <v>283</v>
      </c>
    </row>
    <row r="39" customFormat="false" ht="15" hidden="false" customHeight="true" outlineLevel="0" collapsed="false">
      <c r="A39" s="47" t="s">
        <v>284</v>
      </c>
      <c r="B39" s="52" t="n">
        <v>70000</v>
      </c>
      <c r="C39" s="52" t="n">
        <v>70000</v>
      </c>
      <c r="D39" s="52" t="n">
        <v>70000</v>
      </c>
      <c r="E39" s="52" t="n">
        <v>70000</v>
      </c>
      <c r="F39" s="52" t="n">
        <v>70000</v>
      </c>
      <c r="G39" s="52" t="n">
        <v>70000</v>
      </c>
      <c r="H39" s="52" t="n">
        <v>70000</v>
      </c>
      <c r="I39" s="52" t="n">
        <v>70000</v>
      </c>
      <c r="J39" s="52" t="n">
        <v>70000</v>
      </c>
      <c r="K39" s="52" t="n">
        <v>70000</v>
      </c>
      <c r="L39" s="52" t="n">
        <v>70000</v>
      </c>
      <c r="M39" s="52" t="n">
        <v>70000</v>
      </c>
      <c r="N39" s="45" t="n">
        <f aca="false">SUM(B39:M39)</f>
        <v>840000</v>
      </c>
    </row>
    <row r="40" customFormat="false" ht="15" hidden="false" customHeight="true" outlineLevel="0" collapsed="false">
      <c r="A40" s="47" t="s">
        <v>285</v>
      </c>
      <c r="B40" s="52" t="n">
        <v>40000</v>
      </c>
      <c r="C40" s="52" t="n">
        <v>20000</v>
      </c>
      <c r="D40" s="52" t="n">
        <v>20000</v>
      </c>
      <c r="E40" s="52" t="n">
        <v>20000</v>
      </c>
      <c r="F40" s="52" t="n">
        <v>20000</v>
      </c>
      <c r="G40" s="52" t="n">
        <v>20000</v>
      </c>
      <c r="H40" s="52" t="n">
        <v>30000</v>
      </c>
      <c r="I40" s="52" t="n">
        <v>20000</v>
      </c>
      <c r="J40" s="52" t="n">
        <v>20000</v>
      </c>
      <c r="K40" s="52" t="n">
        <v>20000</v>
      </c>
      <c r="L40" s="52" t="n">
        <v>30000</v>
      </c>
      <c r="M40" s="52" t="n">
        <v>30000</v>
      </c>
      <c r="N40" s="45" t="n">
        <f aca="false">SUM(B40:M40)</f>
        <v>290000</v>
      </c>
    </row>
    <row r="41" customFormat="false" ht="15" hidden="false" customHeight="true" outlineLevel="0" collapsed="false">
      <c r="A41" s="47" t="s">
        <v>286</v>
      </c>
      <c r="B41" s="52" t="n">
        <v>20000</v>
      </c>
      <c r="C41" s="52" t="n">
        <v>20000</v>
      </c>
      <c r="D41" s="52" t="n">
        <v>20000</v>
      </c>
      <c r="E41" s="52" t="n">
        <v>20000</v>
      </c>
      <c r="F41" s="52" t="n">
        <v>20000</v>
      </c>
      <c r="G41" s="52" t="n">
        <v>20000</v>
      </c>
      <c r="H41" s="52" t="n">
        <v>20000</v>
      </c>
      <c r="I41" s="52" t="n">
        <v>20000</v>
      </c>
      <c r="J41" s="52" t="n">
        <v>20000</v>
      </c>
      <c r="K41" s="52" t="n">
        <v>20000</v>
      </c>
      <c r="L41" s="52" t="n">
        <v>20000</v>
      </c>
      <c r="M41" s="52" t="n">
        <v>20000</v>
      </c>
      <c r="N41" s="45" t="n">
        <f aca="false">SUM(B41:M41)</f>
        <v>240000</v>
      </c>
    </row>
    <row r="42" customFormat="false" ht="15" hidden="false" customHeight="true" outlineLevel="0" collapsed="false">
      <c r="A42" s="47" t="s">
        <v>287</v>
      </c>
      <c r="B42" s="52" t="n">
        <v>30000</v>
      </c>
      <c r="C42" s="52" t="n">
        <v>15000</v>
      </c>
      <c r="D42" s="52" t="n">
        <v>10000</v>
      </c>
      <c r="E42" s="52" t="n">
        <v>10000</v>
      </c>
      <c r="F42" s="52" t="n">
        <v>10000</v>
      </c>
      <c r="G42" s="52" t="n">
        <v>10000</v>
      </c>
      <c r="H42" s="52" t="n">
        <v>10000</v>
      </c>
      <c r="I42" s="52" t="n">
        <v>14000</v>
      </c>
      <c r="J42" s="52" t="n">
        <v>14000</v>
      </c>
      <c r="K42" s="52" t="n">
        <v>15000</v>
      </c>
      <c r="L42" s="52" t="n">
        <v>15000</v>
      </c>
      <c r="M42" s="52" t="n">
        <v>21000</v>
      </c>
      <c r="N42" s="45" t="n">
        <f aca="false">SUM(B42:M42)</f>
        <v>174000</v>
      </c>
    </row>
    <row r="43" customFormat="false" ht="15" hidden="false" customHeight="true" outlineLevel="0" collapsed="false">
      <c r="A43" s="47" t="s">
        <v>288</v>
      </c>
      <c r="B43" s="52" t="n">
        <v>10000</v>
      </c>
      <c r="C43" s="52" t="n">
        <v>10000</v>
      </c>
      <c r="D43" s="52" t="n">
        <v>10000</v>
      </c>
      <c r="E43" s="52" t="n">
        <v>10000</v>
      </c>
      <c r="F43" s="52" t="n">
        <v>10000</v>
      </c>
      <c r="G43" s="52" t="n">
        <v>10000</v>
      </c>
      <c r="H43" s="52" t="n">
        <v>10000</v>
      </c>
      <c r="I43" s="52" t="n">
        <v>10000</v>
      </c>
      <c r="J43" s="52" t="n">
        <v>10000</v>
      </c>
      <c r="K43" s="52" t="n">
        <v>10000</v>
      </c>
      <c r="L43" s="52" t="n">
        <v>10000</v>
      </c>
      <c r="M43" s="52" t="n">
        <v>10000</v>
      </c>
      <c r="N43" s="45" t="n">
        <f aca="false">SUM(B43:M43)</f>
        <v>120000</v>
      </c>
    </row>
    <row r="44" customFormat="false" ht="15" hidden="false" customHeight="true" outlineLevel="0" collapsed="false">
      <c r="A44" s="47" t="s">
        <v>289</v>
      </c>
      <c r="B44" s="52" t="n">
        <v>10000</v>
      </c>
      <c r="C44" s="52" t="n">
        <v>10000</v>
      </c>
      <c r="D44" s="52" t="n">
        <v>20000</v>
      </c>
      <c r="E44" s="52" t="n">
        <v>15000</v>
      </c>
      <c r="F44" s="52" t="n">
        <v>20000</v>
      </c>
      <c r="G44" s="52" t="n">
        <v>20000</v>
      </c>
      <c r="H44" s="52" t="n">
        <v>25000</v>
      </c>
      <c r="I44" s="52" t="n">
        <v>30000</v>
      </c>
      <c r="J44" s="52" t="n">
        <v>30000</v>
      </c>
      <c r="K44" s="52" t="n">
        <v>30000</v>
      </c>
      <c r="L44" s="52" t="n">
        <v>20000</v>
      </c>
      <c r="M44" s="52" t="n">
        <v>20000</v>
      </c>
      <c r="N44" s="45" t="n">
        <f aca="false">SUM(B44:M44)</f>
        <v>250000</v>
      </c>
    </row>
    <row r="45" customFormat="false" ht="15" hidden="false" customHeight="true" outlineLevel="0" collapsed="false">
      <c r="A45" s="47" t="s">
        <v>290</v>
      </c>
      <c r="B45" s="52" t="n">
        <v>20000</v>
      </c>
      <c r="C45" s="52" t="n">
        <v>20000</v>
      </c>
      <c r="D45" s="52" t="n">
        <v>20000</v>
      </c>
      <c r="E45" s="52" t="n">
        <v>20000</v>
      </c>
      <c r="F45" s="52" t="n">
        <v>20000</v>
      </c>
      <c r="G45" s="52" t="n">
        <v>20000</v>
      </c>
      <c r="H45" s="52" t="n">
        <v>20000</v>
      </c>
      <c r="I45" s="52" t="n">
        <v>20000</v>
      </c>
      <c r="J45" s="52" t="n">
        <v>20000</v>
      </c>
      <c r="K45" s="52" t="n">
        <v>20000</v>
      </c>
      <c r="L45" s="52" t="n">
        <v>20000</v>
      </c>
      <c r="M45" s="52" t="n">
        <v>20000</v>
      </c>
      <c r="N45" s="45" t="n">
        <f aca="false">SUM(B45:M45)</f>
        <v>240000</v>
      </c>
    </row>
    <row r="46" customFormat="false" ht="15" hidden="false" customHeight="true" outlineLevel="0" collapsed="false">
      <c r="A46" s="59" t="s">
        <v>291</v>
      </c>
      <c r="B46" s="45" t="n">
        <f aca="false">SUM(B39:B45)</f>
        <v>200000</v>
      </c>
      <c r="C46" s="45" t="n">
        <f aca="false">SUM(C39:C45)</f>
        <v>165000</v>
      </c>
      <c r="D46" s="45" t="n">
        <f aca="false">SUM(D39:D45)</f>
        <v>170000</v>
      </c>
      <c r="E46" s="45" t="n">
        <f aca="false">SUM(E39:E45)</f>
        <v>165000</v>
      </c>
      <c r="F46" s="45" t="n">
        <f aca="false">SUM(F39:F45)</f>
        <v>170000</v>
      </c>
      <c r="G46" s="45" t="n">
        <f aca="false">SUM(G39:G45)</f>
        <v>170000</v>
      </c>
      <c r="H46" s="45" t="n">
        <f aca="false">SUM(H39:H45)</f>
        <v>185000</v>
      </c>
      <c r="I46" s="45" t="n">
        <f aca="false">SUM(I39:I45)</f>
        <v>184000</v>
      </c>
      <c r="J46" s="45" t="n">
        <f aca="false">SUM(J39:J45)</f>
        <v>184000</v>
      </c>
      <c r="K46" s="45" t="n">
        <f aca="false">SUM(K39:K45)</f>
        <v>185000</v>
      </c>
      <c r="L46" s="45" t="n">
        <f aca="false">SUM(L39:L45)</f>
        <v>185000</v>
      </c>
      <c r="M46" s="45" t="n">
        <f aca="false">SUM(M39:M45)</f>
        <v>191000</v>
      </c>
      <c r="N46" s="45" t="n">
        <f aca="false">SUM(B46:M46)</f>
        <v>2154000</v>
      </c>
    </row>
    <row r="48" customFormat="false" ht="15" hidden="false" customHeight="true" outlineLevel="0" collapsed="false">
      <c r="A48" s="60" t="s">
        <v>292</v>
      </c>
      <c r="B48" s="45" t="n">
        <f aca="false">B17+B28+B36+B46</f>
        <v>2066500</v>
      </c>
      <c r="C48" s="45" t="n">
        <f aca="false">C17+C28+C36+C46</f>
        <v>1936500</v>
      </c>
      <c r="D48" s="45" t="n">
        <f aca="false">D17+D28+D36+D46</f>
        <v>2202500</v>
      </c>
      <c r="E48" s="45" t="n">
        <f aca="false">E17+E28+E36+E46</f>
        <v>2444500</v>
      </c>
      <c r="F48" s="45" t="n">
        <f aca="false">F17+F28+F36+F46</f>
        <v>2603500</v>
      </c>
      <c r="G48" s="45" t="n">
        <f aca="false">G17+G28+G36+G46</f>
        <v>2705500</v>
      </c>
      <c r="H48" s="45" t="n">
        <f aca="false">H17+H28+H36+H46</f>
        <v>2723500</v>
      </c>
      <c r="I48" s="45" t="n">
        <f aca="false">I17+I28+I36+I46</f>
        <v>2937000</v>
      </c>
      <c r="J48" s="45" t="n">
        <f aca="false">J17+J28+J36+J46</f>
        <v>2978000</v>
      </c>
      <c r="K48" s="45" t="n">
        <f aca="false">K17+K28+K36+K46</f>
        <v>2932000</v>
      </c>
      <c r="L48" s="45" t="n">
        <f aca="false">L17+L28+L36+L46</f>
        <v>2915000</v>
      </c>
      <c r="M48" s="45" t="n">
        <f aca="false">M17+M28+M36+M46</f>
        <v>3008000</v>
      </c>
      <c r="N48" s="45" t="n">
        <f aca="false">SUM(B48:M48)</f>
        <v>31452500</v>
      </c>
    </row>
    <row r="50" customFormat="false" ht="15" hidden="false" customHeight="true" outlineLevel="0" collapsed="false">
      <c r="A50" s="59" t="s">
        <v>293</v>
      </c>
      <c r="B50" s="48" t="n">
        <f aca="false">'Aylik Projeksiyon (Baz)'!B29</f>
        <v>206506</v>
      </c>
      <c r="C50" s="48" t="n">
        <f aca="false">'Aylik Projeksiyon (Baz)'!C29</f>
        <v>328403</v>
      </c>
      <c r="D50" s="48" t="n">
        <f aca="false">'Aylik Projeksiyon (Baz)'!D29</f>
        <v>578756</v>
      </c>
      <c r="E50" s="48" t="n">
        <f aca="false">'Aylik Projeksiyon (Baz)'!E29</f>
        <v>904103</v>
      </c>
      <c r="F50" s="48" t="n">
        <f aca="false">'Aylik Projeksiyon (Baz)'!F29</f>
        <v>1471101</v>
      </c>
      <c r="G50" s="48" t="n">
        <f aca="false">'Aylik Projeksiyon (Baz)'!G29</f>
        <v>2463504</v>
      </c>
      <c r="H50" s="48" t="n">
        <f aca="false">'Aylik Projeksiyon (Baz)'!H29</f>
        <v>3830476</v>
      </c>
      <c r="I50" s="48" t="n">
        <f aca="false">'Aylik Projeksiyon (Baz)'!I29</f>
        <v>6478063</v>
      </c>
      <c r="J50" s="48" t="n">
        <f aca="false">'Aylik Projeksiyon (Baz)'!J29</f>
        <v>10544593</v>
      </c>
      <c r="K50" s="48" t="n">
        <f aca="false">'Aylik Projeksiyon (Baz)'!K29</f>
        <v>16926460</v>
      </c>
      <c r="L50" s="48" t="n">
        <f aca="false">'Aylik Projeksiyon (Baz)'!L29</f>
        <v>28847058</v>
      </c>
      <c r="M50" s="48" t="n">
        <f aca="false">'Aylik Projeksiyon (Baz)'!M29</f>
        <v>47382427</v>
      </c>
      <c r="N50" s="45" t="n">
        <f aca="false">SUM(B50:M50)</f>
        <v>119961450</v>
      </c>
    </row>
    <row r="51" customFormat="false" ht="15" hidden="false" customHeight="true" outlineLevel="0" collapsed="false">
      <c r="A51" s="59" t="s">
        <v>294</v>
      </c>
      <c r="B51" s="45" t="n">
        <f aca="false">B50-B48</f>
        <v>-1859994</v>
      </c>
      <c r="C51" s="45" t="n">
        <f aca="false">C50-C48</f>
        <v>-1608097</v>
      </c>
      <c r="D51" s="45" t="n">
        <f aca="false">D50-D48</f>
        <v>-1623744</v>
      </c>
      <c r="E51" s="45" t="n">
        <f aca="false">E50-E48</f>
        <v>-1540397</v>
      </c>
      <c r="F51" s="45" t="n">
        <f aca="false">F50-F48</f>
        <v>-1132399</v>
      </c>
      <c r="G51" s="45" t="n">
        <f aca="false">G50-G48</f>
        <v>-241996</v>
      </c>
      <c r="H51" s="45" t="n">
        <f aca="false">H50-H48</f>
        <v>1106976</v>
      </c>
      <c r="I51" s="45" t="n">
        <f aca="false">I50-I48</f>
        <v>3541063</v>
      </c>
      <c r="J51" s="45" t="n">
        <f aca="false">J50-J48</f>
        <v>7566593</v>
      </c>
      <c r="K51" s="45" t="n">
        <f aca="false">K50-K48</f>
        <v>13994460</v>
      </c>
      <c r="L51" s="45" t="n">
        <f aca="false">L50-L48</f>
        <v>25932058</v>
      </c>
      <c r="M51" s="45" t="n">
        <f aca="false">M50-M48</f>
        <v>44374427</v>
      </c>
      <c r="N51" s="45" t="n">
        <f aca="false">SUM(B51:M51)</f>
        <v>88508950</v>
      </c>
    </row>
    <row r="52" customFormat="false" ht="15" hidden="false" customHeight="true" outlineLevel="0" collapsed="false">
      <c r="A52" s="47" t="s">
        <v>295</v>
      </c>
      <c r="B52" s="56" t="n">
        <f aca="false">IF(B50=0,0,B51/B50)</f>
        <v>-9.00697316300737</v>
      </c>
      <c r="C52" s="56" t="n">
        <f aca="false">IF(C50=0,0,C51/C50)</f>
        <v>-4.89671836128172</v>
      </c>
      <c r="D52" s="56" t="n">
        <f aca="false">IF(D50=0,0,D51/D50)</f>
        <v>-2.8055760976992</v>
      </c>
      <c r="E52" s="56" t="n">
        <f aca="false">IF(E50=0,0,E51/E50)</f>
        <v>-1.70378485637145</v>
      </c>
      <c r="F52" s="56" t="n">
        <f aca="false">IF(F50=0,0,F51/F50)</f>
        <v>-0.76976291906538</v>
      </c>
      <c r="G52" s="56" t="n">
        <f aca="false">IF(G50=0,0,G51/G50)</f>
        <v>-0.098232436399535</v>
      </c>
      <c r="H52" s="56" t="n">
        <f aca="false">IF(H50=0,0,H51/H50)</f>
        <v>0.288991759770848</v>
      </c>
      <c r="I52" s="56" t="n">
        <f aca="false">IF(I50=0,0,I51/I50)</f>
        <v>0.546623736138411</v>
      </c>
      <c r="J52" s="56" t="n">
        <f aca="false">IF(J50=0,0,J51/J50)</f>
        <v>0.717580375079436</v>
      </c>
      <c r="K52" s="56" t="n">
        <f aca="false">IF(K50=0,0,K51/K50)</f>
        <v>0.826780082781633</v>
      </c>
      <c r="L52" s="56" t="n">
        <f aca="false">IF(L50=0,0,L51/L50)</f>
        <v>0.89894983398307</v>
      </c>
      <c r="M52" s="56" t="n">
        <f aca="false">IF(M50=0,0,M51/M50)</f>
        <v>0.936516548635215</v>
      </c>
      <c r="N52" s="56" t="n">
        <f aca="false">IF(N50=0,0,N51/N50)</f>
        <v>0.73781160531154</v>
      </c>
    </row>
    <row r="53" customFormat="false" ht="15" hidden="false" customHeight="true" outlineLevel="0" collapsed="false">
      <c r="A53" s="47" t="s">
        <v>296</v>
      </c>
      <c r="B53" s="49" t="n">
        <f aca="false">B51</f>
        <v>-1859994</v>
      </c>
      <c r="C53" s="49" t="n">
        <f aca="false">B53+C51</f>
        <v>-3468091</v>
      </c>
      <c r="D53" s="49" t="n">
        <f aca="false">C53+D51</f>
        <v>-5091835</v>
      </c>
      <c r="E53" s="49" t="n">
        <f aca="false">D53+E51</f>
        <v>-6632232</v>
      </c>
      <c r="F53" s="49" t="n">
        <f aca="false">E53+F51</f>
        <v>-7764631</v>
      </c>
      <c r="G53" s="49" t="n">
        <f aca="false">F53+G51</f>
        <v>-8006627</v>
      </c>
      <c r="H53" s="49" t="n">
        <f aca="false">G53+H51</f>
        <v>-6899651</v>
      </c>
      <c r="I53" s="49" t="n">
        <f aca="false">H53+I51</f>
        <v>-3358588</v>
      </c>
      <c r="J53" s="49" t="n">
        <f aca="false">I53+J51</f>
        <v>4208005</v>
      </c>
      <c r="K53" s="49" t="n">
        <f aca="false">J53+K51</f>
        <v>18202465</v>
      </c>
      <c r="L53" s="49" t="n">
        <f aca="false">K53+L51</f>
        <v>44134523</v>
      </c>
      <c r="M53" s="49" t="n">
        <f aca="false">L53+M51</f>
        <v>88508950</v>
      </c>
      <c r="N53" s="45" t="n">
        <f aca="false">M53</f>
        <v>88508950</v>
      </c>
    </row>
    <row r="57" customFormat="false" ht="15" hidden="false" customHeight="true" outlineLevel="0" collapsed="false">
      <c r="A57" s="46" t="s">
        <v>297</v>
      </c>
    </row>
    <row r="58" customFormat="false" ht="15" hidden="false" customHeight="true" outlineLevel="0" collapsed="false">
      <c r="A58" s="47" t="s">
        <v>298</v>
      </c>
      <c r="N58" s="45" t="n">
        <f aca="false">N17</f>
        <v>25639500</v>
      </c>
    </row>
    <row r="59" customFormat="false" ht="15" hidden="false" customHeight="true" outlineLevel="0" collapsed="false">
      <c r="A59" s="47" t="s">
        <v>299</v>
      </c>
      <c r="N59" s="45" t="n">
        <f aca="false">N28</f>
        <v>1654000</v>
      </c>
    </row>
    <row r="60" customFormat="false" ht="15" hidden="false" customHeight="true" outlineLevel="0" collapsed="false">
      <c r="A60" s="47" t="s">
        <v>300</v>
      </c>
      <c r="N60" s="45" t="n">
        <f aca="false">N36</f>
        <v>2005000</v>
      </c>
    </row>
    <row r="61" customFormat="false" ht="15" hidden="false" customHeight="true" outlineLevel="0" collapsed="false">
      <c r="A61" s="47" t="s">
        <v>301</v>
      </c>
      <c r="N61" s="45" t="n">
        <f aca="false">N46</f>
        <v>2154000</v>
      </c>
    </row>
    <row r="62" customFormat="false" ht="15" hidden="false" customHeight="true" outlineLevel="0" collapsed="false">
      <c r="A62" s="59" t="s">
        <v>302</v>
      </c>
      <c r="N62" s="45" t="n">
        <f aca="false">N48</f>
        <v>31452500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20"/>
  </cols>
  <sheetData>
    <row r="1" customFormat="false" ht="17.25" hidden="false" customHeight="true" outlineLevel="0" collapsed="false">
      <c r="A1" s="43" t="s">
        <v>303</v>
      </c>
    </row>
    <row r="2" customFormat="false" ht="15" hidden="false" customHeight="true" outlineLevel="0" collapsed="false">
      <c r="A2" s="44" t="s">
        <v>304</v>
      </c>
    </row>
    <row r="4" customFormat="false" ht="15" hidden="false" customHeight="true" outlineLevel="0" collapsed="false">
      <c r="A4" s="59" t="s">
        <v>10</v>
      </c>
      <c r="B4" s="45" t="s">
        <v>196</v>
      </c>
      <c r="C4" s="45" t="s">
        <v>305</v>
      </c>
      <c r="D4" s="45" t="s">
        <v>306</v>
      </c>
    </row>
    <row r="5" customFormat="false" ht="15" hidden="false" customHeight="true" outlineLevel="0" collapsed="false">
      <c r="A5" s="47" t="s">
        <v>307</v>
      </c>
      <c r="B5" s="48" t="n">
        <f aca="false">'Aylik Projeksiyon (Baz)'!B6</f>
        <v>5000</v>
      </c>
      <c r="C5" s="48" t="n">
        <f aca="false">'Aylik Projeksiyon (Baz)'!G6</f>
        <v>109495</v>
      </c>
      <c r="D5" s="48" t="n">
        <f aca="false">'Aylik Projeksiyon (Baz)'!N6</f>
        <v>2050124</v>
      </c>
    </row>
    <row r="6" customFormat="false" ht="15" hidden="false" customHeight="true" outlineLevel="0" collapsed="false">
      <c r="A6" s="47" t="s">
        <v>308</v>
      </c>
      <c r="B6" s="48" t="n">
        <f aca="false">'Aylik Projeksiyon (Baz)'!B7</f>
        <v>3000</v>
      </c>
      <c r="C6" s="48" t="n">
        <f aca="false">'Aylik Projeksiyon (Baz)'!G7</f>
        <v>61535</v>
      </c>
      <c r="D6" s="48" t="n">
        <f aca="false">'Aylik Projeksiyon (Baz)'!M7</f>
        <v>1139678</v>
      </c>
    </row>
    <row r="7" customFormat="false" ht="15" hidden="false" customHeight="true" outlineLevel="0" collapsed="false">
      <c r="A7" s="47" t="s">
        <v>309</v>
      </c>
      <c r="B7" s="48" t="n">
        <f aca="false">'Aylik Projeksiyon (Baz)'!B8</f>
        <v>600</v>
      </c>
      <c r="C7" s="48" t="n">
        <f aca="false">'Aylik Projeksiyon (Baz)'!G8</f>
        <v>12307</v>
      </c>
      <c r="D7" s="48" t="n">
        <f aca="false">'Aylik Projeksiyon (Baz)'!M8</f>
        <v>227936</v>
      </c>
    </row>
    <row r="9" customFormat="false" ht="15" hidden="false" customHeight="true" outlineLevel="0" collapsed="false">
      <c r="A9" s="47" t="s">
        <v>310</v>
      </c>
      <c r="B9" s="48" t="n">
        <f aca="false">'Aylik Projeksiyon (Baz)'!B11</f>
        <v>6300</v>
      </c>
      <c r="C9" s="48" t="n">
        <f aca="false">SUM('Aylik Projeksiyon (Baz)'!B11:G11)</f>
        <v>303990</v>
      </c>
      <c r="D9" s="48" t="n">
        <f aca="false">'Aylik Projeksiyon (Baz)'!N11</f>
        <v>6189930</v>
      </c>
    </row>
    <row r="10" customFormat="false" ht="15" hidden="false" customHeight="true" outlineLevel="0" collapsed="false">
      <c r="A10" s="47" t="s">
        <v>311</v>
      </c>
      <c r="B10" s="48" t="n">
        <f aca="false">'Aylik Projeksiyon (Baz)'!B12</f>
        <v>4095</v>
      </c>
      <c r="C10" s="48" t="n">
        <f aca="false">SUM('Aylik Projeksiyon (Baz)'!B12:G12)</f>
        <v>197595</v>
      </c>
      <c r="D10" s="48" t="n">
        <f aca="false">'Aylik Projeksiyon (Baz)'!N12</f>
        <v>4023457</v>
      </c>
    </row>
    <row r="11" customFormat="false" ht="15" hidden="false" customHeight="true" outlineLevel="0" collapsed="false">
      <c r="A11" s="47" t="s">
        <v>312</v>
      </c>
      <c r="B11" s="61" t="n">
        <f aca="false">IF('Aylik Projeksiyon (Baz)'!B11=0,0,'Aylik Projeksiyon (Baz)'!B12/'Aylik Projeksiyon (Baz)'!B11)</f>
        <v>0.65</v>
      </c>
      <c r="C11" s="56" t="n">
        <f aca="false">IF(C9=0,0,C10/C9)</f>
        <v>0.650004934372841</v>
      </c>
      <c r="D11" s="61" t="n">
        <f aca="false">IF('Aylik Projeksiyon (Baz)'!N11=0,0,'Aylik Projeksiyon (Baz)'!N12/'Aylik Projeksiyon (Baz)'!N11)</f>
        <v>0.650000403881789</v>
      </c>
    </row>
    <row r="13" customFormat="false" ht="15" hidden="false" customHeight="true" outlineLevel="0" collapsed="false">
      <c r="A13" s="47" t="s">
        <v>313</v>
      </c>
      <c r="B13" s="48" t="n">
        <f aca="false">'Aylik Projeksiyon (Baz)'!B17</f>
        <v>479115</v>
      </c>
      <c r="C13" s="48" t="n">
        <f aca="false">SUM('Aylik Projeksiyon (Baz)'!B17:G17)</f>
        <v>23118615</v>
      </c>
      <c r="D13" s="48" t="n">
        <f aca="false">'Aylik Projeksiyon (Baz)'!N17</f>
        <v>470744469</v>
      </c>
    </row>
    <row r="14" customFormat="false" ht="15" hidden="false" customHeight="true" outlineLevel="0" collapsed="false">
      <c r="A14" s="47" t="s">
        <v>314</v>
      </c>
      <c r="B14" s="48" t="n">
        <f aca="false">'Aylik Projeksiyon (Baz)'!B14</f>
        <v>117</v>
      </c>
      <c r="C14" s="48" t="n">
        <f aca="false">'Aylik Projeksiyon (Baz)'!B14</f>
        <v>117</v>
      </c>
      <c r="D14" s="48" t="n">
        <f aca="false">'Aylik Projeksiyon (Baz)'!B14</f>
        <v>117</v>
      </c>
    </row>
    <row r="16" customFormat="false" ht="15" hidden="false" customHeight="true" outlineLevel="0" collapsed="false">
      <c r="A16" s="59" t="s">
        <v>315</v>
      </c>
      <c r="B16" s="48" t="n">
        <f aca="false">'Aylik Projeksiyon (Baz)'!B29</f>
        <v>206506</v>
      </c>
      <c r="C16" s="48" t="n">
        <f aca="false">SUM('Aylik Projeksiyon (Baz)'!B29:G29)</f>
        <v>5952373</v>
      </c>
      <c r="D16" s="48" t="n">
        <f aca="false">'Aylik Projeksiyon (Baz)'!N29</f>
        <v>119961450</v>
      </c>
    </row>
    <row r="17" customFormat="false" ht="15" hidden="false" customHeight="true" outlineLevel="0" collapsed="false">
      <c r="A17" s="47" t="s">
        <v>316</v>
      </c>
      <c r="B17" s="48" t="n">
        <f aca="false">'Aylik Projeksiyon (Baz)'!B21</f>
        <v>33538</v>
      </c>
      <c r="C17" s="48" t="n">
        <f aca="false">SUM('Aylik Projeksiyon (Baz)'!B21:G21)</f>
        <v>1472116</v>
      </c>
      <c r="D17" s="48" t="n">
        <f aca="false">'Aylik Projeksiyon (Baz)'!N21</f>
        <v>21763953</v>
      </c>
    </row>
    <row r="18" customFormat="false" ht="15" hidden="false" customHeight="true" outlineLevel="0" collapsed="false">
      <c r="A18" s="47" t="s">
        <v>317</v>
      </c>
      <c r="B18" s="48" t="n">
        <f aca="false">'Aylik Projeksiyon (Baz)'!B22</f>
        <v>75000</v>
      </c>
      <c r="C18" s="48" t="n">
        <f aca="false">SUM('Aylik Projeksiyon (Baz)'!B22:G22)</f>
        <v>625000</v>
      </c>
      <c r="D18" s="48" t="n">
        <f aca="false">'Aylik Projeksiyon (Baz)'!N22</f>
        <v>1925000</v>
      </c>
    </row>
    <row r="19" customFormat="false" ht="15" hidden="false" customHeight="true" outlineLevel="0" collapsed="false">
      <c r="A19" s="47" t="s">
        <v>318</v>
      </c>
      <c r="B19" s="48" t="n">
        <f aca="false">'Aylik Projeksiyon (Baz)'!B23</f>
        <v>53358</v>
      </c>
      <c r="C19" s="48" t="n">
        <f aca="false">SUM('Aylik Projeksiyon (Baz)'!B23:G23)</f>
        <v>3214711</v>
      </c>
      <c r="D19" s="48" t="n">
        <f aca="false">'Aylik Projeksiyon (Baz)'!N23</f>
        <v>91667189</v>
      </c>
    </row>
    <row r="20" customFormat="false" ht="15" hidden="false" customHeight="true" outlineLevel="0" collapsed="false">
      <c r="A20" s="47" t="s">
        <v>319</v>
      </c>
      <c r="B20" s="48" t="n">
        <f aca="false">'Aylik Projeksiyon (Baz)'!B24</f>
        <v>18000</v>
      </c>
      <c r="C20" s="48" t="n">
        <f aca="false">SUM('Aylik Projeksiyon (Baz)'!B24:G24)</f>
        <v>150000</v>
      </c>
      <c r="D20" s="48" t="n">
        <f aca="false">'Aylik Projeksiyon (Baz)'!N24</f>
        <v>462000</v>
      </c>
    </row>
    <row r="21" customFormat="false" ht="15" hidden="false" customHeight="true" outlineLevel="0" collapsed="false">
      <c r="A21" s="47" t="s">
        <v>320</v>
      </c>
      <c r="B21" s="48" t="n">
        <f aca="false">'Aylik Projeksiyon (Baz)'!B25</f>
        <v>24000</v>
      </c>
      <c r="C21" s="48" t="n">
        <f aca="false">SUM('Aylik Projeksiyon (Baz)'!B25:G25)</f>
        <v>228000</v>
      </c>
      <c r="D21" s="48" t="n">
        <f aca="false">'Aylik Projeksiyon (Baz)'!N25</f>
        <v>768000</v>
      </c>
    </row>
    <row r="22" customFormat="false" ht="15" hidden="false" customHeight="true" outlineLevel="0" collapsed="false">
      <c r="A22" s="47" t="s">
        <v>321</v>
      </c>
      <c r="B22" s="48" t="n">
        <f aca="false">'Aylik Projeksiyon (Baz)'!B26</f>
        <v>2610</v>
      </c>
      <c r="C22" s="48" t="n">
        <f aca="false">SUM('Aylik Projeksiyon (Baz)'!B26:G26)</f>
        <v>125951</v>
      </c>
      <c r="D22" s="48" t="n">
        <f aca="false">'Aylik Projeksiyon (Baz)'!N26</f>
        <v>2564408</v>
      </c>
    </row>
    <row r="23" customFormat="false" ht="15" hidden="false" customHeight="true" outlineLevel="0" collapsed="false">
      <c r="A23" s="47" t="s">
        <v>322</v>
      </c>
      <c r="B23" s="48" t="n">
        <f aca="false">'Aylik Projeksiyon (Baz)'!B27</f>
        <v>0</v>
      </c>
      <c r="C23" s="48" t="n">
        <f aca="false">SUM('Aylik Projeksiyon (Baz)'!B27:G27)</f>
        <v>27500</v>
      </c>
      <c r="D23" s="48" t="n">
        <f aca="false">'Aylik Projeksiyon (Baz)'!N27</f>
        <v>187500</v>
      </c>
    </row>
    <row r="24" customFormat="false" ht="15" hidden="false" customHeight="true" outlineLevel="0" collapsed="false">
      <c r="A24" s="47" t="s">
        <v>323</v>
      </c>
      <c r="B24" s="48" t="n">
        <f aca="false">'Aylik Projeksiyon (Baz)'!B28</f>
        <v>0</v>
      </c>
      <c r="C24" s="48" t="n">
        <f aca="false">SUM('Aylik Projeksiyon (Baz)'!B28:G28)</f>
        <v>109095</v>
      </c>
      <c r="D24" s="48" t="n">
        <f aca="false">'Aylik Projeksiyon (Baz)'!N28</f>
        <v>623400</v>
      </c>
    </row>
    <row r="26" customFormat="false" ht="15" hidden="false" customHeight="true" outlineLevel="0" collapsed="false">
      <c r="A26" s="46" t="s">
        <v>324</v>
      </c>
    </row>
    <row r="27" customFormat="false" ht="15" hidden="false" customHeight="true" outlineLevel="0" collapsed="false">
      <c r="A27" s="62" t="s">
        <v>325</v>
      </c>
    </row>
    <row r="28" customFormat="false" ht="15" hidden="false" customHeight="true" outlineLevel="0" collapsed="false">
      <c r="A28" s="62" t="s">
        <v>326</v>
      </c>
    </row>
    <row r="29" customFormat="false" ht="15" hidden="false" customHeight="true" outlineLevel="0" collapsed="false">
      <c r="A29" s="62" t="s">
        <v>327</v>
      </c>
    </row>
    <row r="30" customFormat="false" ht="15" hidden="false" customHeight="true" outlineLevel="0" collapsed="false">
      <c r="A30" s="62" t="s">
        <v>328</v>
      </c>
    </row>
    <row r="31" customFormat="false" ht="15" hidden="false" customHeight="true" outlineLevel="0" collapsed="false">
      <c r="A31" s="62" t="s">
        <v>329</v>
      </c>
    </row>
    <row r="32" customFormat="false" ht="15" hidden="false" customHeight="true" outlineLevel="0" collapsed="false">
      <c r="A32" s="62" t="s">
        <v>330</v>
      </c>
    </row>
    <row r="33" customFormat="false" ht="15" hidden="false" customHeight="true" outlineLevel="0" collapsed="false">
      <c r="A33" s="62" t="s">
        <v>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7"/>
  <sheetViews>
    <sheetView showFormulas="false" showGridLines="true" showRowColHeaders="true" showZeros="true" rightToLeft="false" tabSelected="false" showOutlineSymbols="true" defaultGridColor="true" view="normal" topLeftCell="A27" colorId="64" zoomScale="100" zoomScaleNormal="100" zoomScalePageLayoutView="100" workbookViewId="0">
      <selection pane="topLeft" activeCell="B34" activeCellId="0" sqref="B34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4" min="2" style="1" width="20"/>
    <col collapsed="false" customWidth="true" hidden="false" outlineLevel="0" max="5" min="5" style="1" width="33.57"/>
  </cols>
  <sheetData>
    <row r="1" customFormat="false" ht="17.25" hidden="false" customHeight="true" outlineLevel="0" collapsed="false">
      <c r="A1" s="43" t="s">
        <v>332</v>
      </c>
    </row>
    <row r="2" customFormat="false" ht="15" hidden="false" customHeight="true" outlineLevel="0" collapsed="false">
      <c r="A2" s="44" t="s">
        <v>333</v>
      </c>
    </row>
    <row r="4" customFormat="false" ht="15" hidden="false" customHeight="true" outlineLevel="0" collapsed="false">
      <c r="A4" s="46" t="s">
        <v>334</v>
      </c>
    </row>
    <row r="5" customFormat="false" ht="15" hidden="false" customHeight="true" outlineLevel="0" collapsed="false">
      <c r="B5" s="63" t="s">
        <v>11</v>
      </c>
      <c r="C5" s="63" t="s">
        <v>12</v>
      </c>
      <c r="D5" s="63" t="s">
        <v>13</v>
      </c>
      <c r="E5" s="63" t="s">
        <v>14</v>
      </c>
    </row>
    <row r="6" customFormat="false" ht="15" hidden="false" customHeight="true" outlineLevel="0" collapsed="false">
      <c r="A6" s="47" t="s">
        <v>335</v>
      </c>
      <c r="B6" s="48" t="n">
        <f aca="false">'Aylik Projeksiyon (Muhafazakar)'!N29</f>
        <v>16681293</v>
      </c>
      <c r="C6" s="48" t="n">
        <f aca="false">'Aylik Projeksiyon (Baz)'!N29</f>
        <v>119961450</v>
      </c>
      <c r="D6" s="48" t="n">
        <f aca="false">'Aylik Projeksiyon (Iyimser)'!N29</f>
        <v>1606466526</v>
      </c>
    </row>
    <row r="7" customFormat="false" ht="15" hidden="false" customHeight="true" outlineLevel="0" collapsed="false">
      <c r="A7" s="47" t="s">
        <v>336</v>
      </c>
      <c r="B7" s="48" t="n">
        <f aca="false">'Aylik Projeksiyon (Muhafazakar)'!N17</f>
        <v>52116012</v>
      </c>
      <c r="C7" s="48" t="n">
        <f aca="false">'Aylik Projeksiyon (Baz)'!N17</f>
        <v>470744469</v>
      </c>
      <c r="D7" s="48" t="n">
        <f aca="false">'Aylik Projeksiyon (Iyimser)'!N17</f>
        <v>6418267011</v>
      </c>
    </row>
    <row r="8" customFormat="false" ht="15" hidden="false" customHeight="true" outlineLevel="0" collapsed="false">
      <c r="A8" s="47" t="s">
        <v>337</v>
      </c>
      <c r="B8" s="48" t="n">
        <f aca="false">'Aylik Projeksiyon (Muhafazakar)'!M6</f>
        <v>495168</v>
      </c>
      <c r="C8" s="48" t="n">
        <f aca="false">'Aylik Projeksiyon (Baz)'!M6</f>
        <v>2050124</v>
      </c>
      <c r="D8" s="48" t="n">
        <f aca="false">'Aylik Projeksiyon (Iyimser)'!M6</f>
        <v>15996869</v>
      </c>
    </row>
    <row r="9" customFormat="false" ht="15" hidden="false" customHeight="true" outlineLevel="0" collapsed="false">
      <c r="A9" s="47" t="s">
        <v>338</v>
      </c>
      <c r="B9" s="48" t="n">
        <f aca="false">'Aylik Projeksiyon (Muhafazakar)'!M7</f>
        <v>206522</v>
      </c>
      <c r="C9" s="48" t="n">
        <f aca="false">'Aylik Projeksiyon (Baz)'!M7</f>
        <v>1139678</v>
      </c>
      <c r="D9" s="48" t="n">
        <f aca="false">'Aylik Projeksiyon (Iyimser)'!M7</f>
        <v>10873866</v>
      </c>
    </row>
    <row r="10" customFormat="false" ht="15" hidden="false" customHeight="true" outlineLevel="0" collapsed="false">
      <c r="A10" s="47" t="s">
        <v>339</v>
      </c>
      <c r="B10" s="48" t="n">
        <f aca="false">'Aylik Projeksiyon (Muhafazakar)'!N12</f>
        <v>445436</v>
      </c>
      <c r="C10" s="48" t="n">
        <f aca="false">'Aylik Projeksiyon (Baz)'!N12</f>
        <v>4023457</v>
      </c>
      <c r="D10" s="48" t="n">
        <f aca="false">'Aylik Projeksiyon (Iyimser)'!N12</f>
        <v>54856983</v>
      </c>
    </row>
    <row r="11" customFormat="false" ht="15" hidden="false" customHeight="true" outlineLevel="0" collapsed="false">
      <c r="A11" s="47" t="s">
        <v>340</v>
      </c>
      <c r="B11" s="52" t="n">
        <v>10</v>
      </c>
      <c r="C11" s="52" t="n">
        <v>10</v>
      </c>
      <c r="D11" s="52" t="n">
        <v>10</v>
      </c>
    </row>
    <row r="12" customFormat="false" ht="15" hidden="false" customHeight="true" outlineLevel="0" collapsed="false">
      <c r="A12" s="47" t="s">
        <v>341</v>
      </c>
      <c r="B12" s="48" t="n">
        <f aca="false">B6-'Gider ve Karlilik'!N48*1.1</f>
        <v>-17916457</v>
      </c>
      <c r="C12" s="48" t="n">
        <f aca="false">'Gider ve Karlilik'!N51</f>
        <v>88508950</v>
      </c>
      <c r="D12" s="48" t="n">
        <f aca="false">D6-'Gider ve Karlilik'!N48*0.92</f>
        <v>1577530226</v>
      </c>
    </row>
    <row r="13" customFormat="false" ht="15" hidden="false" customHeight="true" outlineLevel="0" collapsed="false">
      <c r="A13" s="47" t="s">
        <v>295</v>
      </c>
      <c r="B13" s="56" t="n">
        <f aca="false">IF(B6=0,0,B12/B6)</f>
        <v>-1.07404485971201</v>
      </c>
      <c r="C13" s="56" t="n">
        <f aca="false">IF(C6=0,0,C12/C6)</f>
        <v>0.73781160531154</v>
      </c>
      <c r="D13" s="56" t="n">
        <f aca="false">IF(D6=0,0,D12/D6)</f>
        <v>0.981987610988665</v>
      </c>
    </row>
    <row r="15" customFormat="false" ht="15" hidden="false" customHeight="true" outlineLevel="0" collapsed="false">
      <c r="A15" s="46" t="s">
        <v>342</v>
      </c>
    </row>
    <row r="16" customFormat="false" ht="15" hidden="false" customHeight="true" outlineLevel="0" collapsed="false">
      <c r="A16" s="62" t="s">
        <v>343</v>
      </c>
    </row>
    <row r="18" customFormat="false" ht="15" hidden="false" customHeight="true" outlineLevel="0" collapsed="false">
      <c r="A18" s="59" t="s">
        <v>344</v>
      </c>
      <c r="B18" s="63" t="s">
        <v>11</v>
      </c>
      <c r="C18" s="63" t="s">
        <v>12</v>
      </c>
      <c r="D18" s="63" t="s">
        <v>13</v>
      </c>
      <c r="E18" s="63" t="s">
        <v>14</v>
      </c>
    </row>
    <row r="19" customFormat="false" ht="15" hidden="false" customHeight="true" outlineLevel="0" collapsed="false">
      <c r="A19" s="47" t="s">
        <v>345</v>
      </c>
      <c r="B19" s="48" t="n">
        <f aca="false">B6</f>
        <v>16681293</v>
      </c>
      <c r="C19" s="48" t="n">
        <f aca="false">C6</f>
        <v>119961450</v>
      </c>
      <c r="D19" s="48" t="n">
        <f aca="false">D6</f>
        <v>1606466526</v>
      </c>
      <c r="E19" s="64" t="s">
        <v>346</v>
      </c>
    </row>
    <row r="20" customFormat="false" ht="15" hidden="false" customHeight="true" outlineLevel="0" collapsed="false">
      <c r="A20" s="47" t="s">
        <v>347</v>
      </c>
      <c r="B20" s="65" t="n">
        <v>8</v>
      </c>
      <c r="C20" s="65" t="n">
        <v>12</v>
      </c>
      <c r="D20" s="65" t="n">
        <v>18</v>
      </c>
      <c r="E20" s="64" t="s">
        <v>348</v>
      </c>
    </row>
    <row r="21" customFormat="false" ht="15" hidden="false" customHeight="true" outlineLevel="0" collapsed="false">
      <c r="A21" s="59" t="s">
        <v>349</v>
      </c>
      <c r="B21" s="45" t="n">
        <f aca="false">B19*B20</f>
        <v>133450344</v>
      </c>
      <c r="C21" s="45" t="n">
        <f aca="false">C19*C20</f>
        <v>1439537400</v>
      </c>
      <c r="D21" s="45" t="n">
        <f aca="false">D19*D20</f>
        <v>28916397468</v>
      </c>
    </row>
    <row r="24" customFormat="false" ht="15" hidden="false" customHeight="true" outlineLevel="0" collapsed="false">
      <c r="A24" s="46" t="s">
        <v>350</v>
      </c>
    </row>
    <row r="25" customFormat="false" ht="15" hidden="false" customHeight="true" outlineLevel="0" collapsed="false">
      <c r="A25" s="62" t="s">
        <v>351</v>
      </c>
    </row>
    <row r="27" customFormat="false" ht="15" hidden="false" customHeight="true" outlineLevel="0" collapsed="false">
      <c r="A27" s="59" t="s">
        <v>344</v>
      </c>
      <c r="B27" s="63" t="s">
        <v>11</v>
      </c>
      <c r="C27" s="63" t="s">
        <v>12</v>
      </c>
      <c r="D27" s="63" t="s">
        <v>13</v>
      </c>
      <c r="E27" s="63" t="s">
        <v>14</v>
      </c>
    </row>
    <row r="28" customFormat="false" ht="15" hidden="false" customHeight="true" outlineLevel="0" collapsed="false">
      <c r="A28" s="47" t="s">
        <v>352</v>
      </c>
      <c r="B28" s="48" t="n">
        <f aca="false">B6</f>
        <v>16681293</v>
      </c>
      <c r="C28" s="48" t="n">
        <f aca="false">C6</f>
        <v>119961450</v>
      </c>
      <c r="D28" s="48" t="n">
        <f aca="false">D6</f>
        <v>1606466526</v>
      </c>
      <c r="E28" s="64" t="s">
        <v>346</v>
      </c>
    </row>
    <row r="29" customFormat="false" ht="15" hidden="false" customHeight="true" outlineLevel="0" collapsed="false">
      <c r="A29" s="47" t="s">
        <v>353</v>
      </c>
      <c r="B29" s="65" t="n">
        <v>4</v>
      </c>
      <c r="C29" s="65" t="n">
        <v>8</v>
      </c>
      <c r="D29" s="65" t="n">
        <v>14</v>
      </c>
      <c r="E29" s="64" t="s">
        <v>354</v>
      </c>
    </row>
    <row r="30" customFormat="false" ht="15" hidden="false" customHeight="true" outlineLevel="0" collapsed="false">
      <c r="A30" s="59" t="s">
        <v>355</v>
      </c>
      <c r="B30" s="45" t="n">
        <f aca="false">B28*B29</f>
        <v>66725172</v>
      </c>
      <c r="C30" s="45" t="n">
        <f aca="false">C28*C29</f>
        <v>959691600</v>
      </c>
      <c r="D30" s="45" t="n">
        <f aca="false">D28*D29</f>
        <v>22490531364</v>
      </c>
      <c r="E30" s="64" t="s">
        <v>356</v>
      </c>
    </row>
    <row r="31" customFormat="false" ht="15" hidden="false" customHeight="true" outlineLevel="0" collapsed="false">
      <c r="A31" s="47" t="s">
        <v>357</v>
      </c>
      <c r="B31" s="65" t="n">
        <v>5</v>
      </c>
      <c r="C31" s="65" t="n">
        <v>7</v>
      </c>
      <c r="D31" s="65" t="n">
        <v>10</v>
      </c>
      <c r="E31" s="64" t="s">
        <v>358</v>
      </c>
    </row>
    <row r="32" customFormat="false" ht="15" hidden="false" customHeight="true" outlineLevel="0" collapsed="false">
      <c r="A32" s="59" t="s">
        <v>359</v>
      </c>
      <c r="B32" s="45" t="n">
        <f aca="false">B30*B31</f>
        <v>333625860</v>
      </c>
      <c r="C32" s="45" t="n">
        <f aca="false">C30*C31</f>
        <v>6717841200</v>
      </c>
      <c r="D32" s="45" t="n">
        <f aca="false">D30*D31</f>
        <v>224905313640</v>
      </c>
    </row>
    <row r="33" customFormat="false" ht="15" hidden="false" customHeight="true" outlineLevel="0" collapsed="false">
      <c r="A33" s="47" t="s">
        <v>360</v>
      </c>
      <c r="B33" s="65" t="n">
        <v>10</v>
      </c>
      <c r="C33" s="65" t="n">
        <v>10</v>
      </c>
      <c r="D33" s="65" t="n">
        <v>10</v>
      </c>
      <c r="E33" s="64" t="s">
        <v>361</v>
      </c>
    </row>
    <row r="34" customFormat="false" ht="15" hidden="false" customHeight="true" outlineLevel="0" collapsed="false">
      <c r="A34" s="59" t="s">
        <v>362</v>
      </c>
      <c r="B34" s="45" t="n">
        <f aca="false">ROUND(B32/B33,0)</f>
        <v>33362586</v>
      </c>
      <c r="C34" s="45" t="n">
        <f aca="false">ROUND(C32/C33,0)</f>
        <v>671784120</v>
      </c>
      <c r="D34" s="45" t="n">
        <f aca="false">ROUND(D32/D33,0)</f>
        <v>22490531364</v>
      </c>
      <c r="E34" s="64" t="s">
        <v>363</v>
      </c>
    </row>
    <row r="37" customFormat="false" ht="15" hidden="false" customHeight="true" outlineLevel="0" collapsed="false">
      <c r="A37" s="46" t="s">
        <v>364</v>
      </c>
    </row>
    <row r="38" customFormat="false" ht="15" hidden="false" customHeight="true" outlineLevel="0" collapsed="false">
      <c r="A38" s="62" t="s">
        <v>365</v>
      </c>
    </row>
    <row r="40" customFormat="false" ht="15" hidden="false" customHeight="true" outlineLevel="0" collapsed="false">
      <c r="A40" s="59" t="s">
        <v>344</v>
      </c>
      <c r="B40" s="63" t="s">
        <v>11</v>
      </c>
      <c r="C40" s="63" t="s">
        <v>12</v>
      </c>
      <c r="D40" s="63" t="s">
        <v>13</v>
      </c>
      <c r="E40" s="63" t="s">
        <v>14</v>
      </c>
    </row>
    <row r="41" customFormat="false" ht="15" hidden="false" customHeight="true" outlineLevel="0" collapsed="false">
      <c r="A41" s="47" t="s">
        <v>366</v>
      </c>
      <c r="B41" s="48" t="n">
        <f aca="false">B9</f>
        <v>206522</v>
      </c>
      <c r="C41" s="48" t="n">
        <f aca="false">C9</f>
        <v>1139678</v>
      </c>
      <c r="D41" s="48" t="n">
        <f aca="false">D9</f>
        <v>10873866</v>
      </c>
      <c r="E41" s="66" t="s">
        <v>367</v>
      </c>
    </row>
    <row r="42" customFormat="false" ht="15" hidden="false" customHeight="true" outlineLevel="0" collapsed="false">
      <c r="A42" s="47" t="s">
        <v>368</v>
      </c>
      <c r="B42" s="67" t="n">
        <f aca="false">ROUND(('Aylik Projeksiyon (Muhafazakar)'!N17+'Aylik Projeksiyon (Muhafazakar)'!N29)/'Aylik Projeksiyon (Muhafazakar)'!M7,1)</f>
        <v>333.1</v>
      </c>
      <c r="C42" s="67" t="n">
        <f aca="false">ROUND(('Aylik Projeksiyon (Baz)'!N17+'Aylik Projeksiyon (Baz)'!N29)/'Aylik Projeksiyon (Baz)'!M7,1)</f>
        <v>518.3</v>
      </c>
      <c r="D42" s="67" t="n">
        <f aca="false">ROUND(('Aylik Projeksiyon (Iyimser)'!N17+'Aylik Projeksiyon (Iyimser)'!N29)/'Aylik Projeksiyon (Iyimser)'!M7,1)</f>
        <v>738</v>
      </c>
      <c r="E42" s="66" t="s">
        <v>369</v>
      </c>
    </row>
    <row r="43" customFormat="false" ht="15" hidden="false" customHeight="true" outlineLevel="0" collapsed="false">
      <c r="A43" s="59" t="s">
        <v>349</v>
      </c>
      <c r="B43" s="45" t="n">
        <f aca="false">B41*B42</f>
        <v>68792478.2</v>
      </c>
      <c r="C43" s="45" t="n">
        <f aca="false">C41*C42</f>
        <v>590695107.4</v>
      </c>
      <c r="D43" s="45" t="n">
        <f aca="false">D41*D42</f>
        <v>8024913108</v>
      </c>
    </row>
    <row r="46" customFormat="false" ht="15" hidden="false" customHeight="true" outlineLevel="0" collapsed="false">
      <c r="A46" s="46" t="s">
        <v>370</v>
      </c>
    </row>
    <row r="47" customFormat="false" ht="15" hidden="false" customHeight="true" outlineLevel="0" collapsed="false">
      <c r="A47" s="62" t="s">
        <v>371</v>
      </c>
    </row>
    <row r="49" customFormat="false" ht="15" hidden="false" customHeight="true" outlineLevel="0" collapsed="false">
      <c r="A49" s="59" t="s">
        <v>344</v>
      </c>
      <c r="B49" s="63" t="s">
        <v>11</v>
      </c>
      <c r="C49" s="63" t="s">
        <v>12</v>
      </c>
      <c r="D49" s="63" t="s">
        <v>13</v>
      </c>
      <c r="E49" s="63" t="s">
        <v>14</v>
      </c>
    </row>
    <row r="50" customFormat="false" ht="15" hidden="false" customHeight="true" outlineLevel="0" collapsed="false">
      <c r="A50" s="47" t="s">
        <v>372</v>
      </c>
      <c r="B50" s="48" t="n">
        <f aca="false">B12</f>
        <v>-17916457</v>
      </c>
      <c r="C50" s="48" t="n">
        <f aca="false">C12</f>
        <v>88508950</v>
      </c>
      <c r="D50" s="48" t="n">
        <f aca="false">D12</f>
        <v>1577530226</v>
      </c>
      <c r="E50" s="68" t="s">
        <v>373</v>
      </c>
    </row>
    <row r="51" customFormat="false" ht="15" hidden="false" customHeight="true" outlineLevel="0" collapsed="false">
      <c r="A51" s="47" t="s">
        <v>374</v>
      </c>
      <c r="B51" s="65" t="n">
        <v>10</v>
      </c>
      <c r="C51" s="65" t="n">
        <v>15</v>
      </c>
      <c r="D51" s="65" t="n">
        <v>20</v>
      </c>
      <c r="E51" s="68" t="s">
        <v>375</v>
      </c>
    </row>
    <row r="52" customFormat="false" ht="15" hidden="false" customHeight="true" outlineLevel="0" collapsed="false">
      <c r="A52" s="59" t="s">
        <v>349</v>
      </c>
      <c r="B52" s="45" t="n">
        <f aca="false">IF(B50&gt;0,B50*B51,0)</f>
        <v>0</v>
      </c>
      <c r="C52" s="45" t="n">
        <f aca="false">IF(C50&gt;0,C50*C51,0)</f>
        <v>1327634250</v>
      </c>
      <c r="D52" s="45" t="n">
        <f aca="false">IF(D50&gt;0,D50*D51,0)</f>
        <v>31550604520</v>
      </c>
      <c r="E52" s="68" t="s">
        <v>376</v>
      </c>
    </row>
    <row r="54" customFormat="false" ht="15" hidden="false" customHeight="true" outlineLevel="0" collapsed="false">
      <c r="A54" s="53"/>
      <c r="B54" s="45"/>
      <c r="C54" s="45"/>
      <c r="D54" s="45"/>
    </row>
    <row r="55" customFormat="false" ht="15" hidden="false" customHeight="true" outlineLevel="0" collapsed="false">
      <c r="A55" s="46" t="s">
        <v>377</v>
      </c>
    </row>
    <row r="56" customFormat="false" ht="15" hidden="false" customHeight="true" outlineLevel="0" collapsed="false">
      <c r="A56" s="62" t="s">
        <v>378</v>
      </c>
    </row>
    <row r="58" customFormat="false" ht="15" hidden="false" customHeight="true" outlineLevel="0" collapsed="false">
      <c r="A58" s="59" t="s">
        <v>379</v>
      </c>
      <c r="B58" s="63" t="s">
        <v>11</v>
      </c>
      <c r="C58" s="63" t="s">
        <v>12</v>
      </c>
      <c r="D58" s="63" t="s">
        <v>13</v>
      </c>
      <c r="E58" s="63" t="s">
        <v>380</v>
      </c>
    </row>
    <row r="59" customFormat="false" ht="15" hidden="false" customHeight="true" outlineLevel="0" collapsed="false">
      <c r="A59" s="47" t="s">
        <v>381</v>
      </c>
      <c r="B59" s="48" t="n">
        <f aca="false">B21</f>
        <v>133450344</v>
      </c>
      <c r="C59" s="48" t="n">
        <f aca="false">C21</f>
        <v>1439537400</v>
      </c>
      <c r="D59" s="48" t="n">
        <f aca="false">D21</f>
        <v>28916397468</v>
      </c>
      <c r="E59" s="69" t="n">
        <v>0.3</v>
      </c>
    </row>
    <row r="60" customFormat="false" ht="15" hidden="false" customHeight="true" outlineLevel="0" collapsed="false">
      <c r="A60" s="47" t="s">
        <v>382</v>
      </c>
      <c r="B60" s="48" t="n">
        <f aca="false">B34</f>
        <v>33362586</v>
      </c>
      <c r="C60" s="48" t="n">
        <f aca="false">C34</f>
        <v>671784120</v>
      </c>
      <c r="D60" s="48" t="n">
        <f aca="false">D34</f>
        <v>22490531364</v>
      </c>
      <c r="E60" s="69" t="n">
        <v>0.3</v>
      </c>
    </row>
    <row r="61" customFormat="false" ht="15" hidden="false" customHeight="true" outlineLevel="0" collapsed="false">
      <c r="A61" s="47" t="s">
        <v>383</v>
      </c>
      <c r="B61" s="48" t="n">
        <f aca="false">B43</f>
        <v>68792478.2</v>
      </c>
      <c r="C61" s="48" t="n">
        <f aca="false">C43</f>
        <v>590695107.4</v>
      </c>
      <c r="D61" s="48" t="n">
        <f aca="false">D43</f>
        <v>8024913108</v>
      </c>
      <c r="E61" s="69" t="n">
        <v>0.2</v>
      </c>
    </row>
    <row r="62" customFormat="false" ht="15" hidden="false" customHeight="true" outlineLevel="0" collapsed="false">
      <c r="A62" s="47" t="s">
        <v>384</v>
      </c>
      <c r="B62" s="48" t="n">
        <f aca="false">B52</f>
        <v>0</v>
      </c>
      <c r="C62" s="48" t="n">
        <f aca="false">C52</f>
        <v>1327634250</v>
      </c>
      <c r="D62" s="48" t="n">
        <f aca="false">D52</f>
        <v>31550604520</v>
      </c>
      <c r="E62" s="69" t="n">
        <v>0.2</v>
      </c>
    </row>
    <row r="63" customFormat="false" ht="15" hidden="false" customHeight="true" outlineLevel="0" collapsed="false">
      <c r="A63" s="47" t="s">
        <v>385</v>
      </c>
      <c r="B63" s="49" t="n">
        <f aca="false">B61+B62</f>
        <v>68792478.2</v>
      </c>
      <c r="C63" s="49" t="n">
        <f aca="false">C61+C62</f>
        <v>1918329357.4</v>
      </c>
      <c r="D63" s="49" t="n">
        <f aca="false">D61+D62</f>
        <v>39575517628</v>
      </c>
    </row>
    <row r="64" customFormat="false" ht="15" hidden="false" customHeight="true" outlineLevel="0" collapsed="false">
      <c r="A64" s="53" t="s">
        <v>386</v>
      </c>
      <c r="B64" s="45" t="n">
        <f aca="false">B59*E59+B60*E60+B61*E61+B62*E62</f>
        <v>63802374.64</v>
      </c>
      <c r="C64" s="45" t="n">
        <f aca="false">C59*E59+C60*E60+C61*E61+C62*E62</f>
        <v>1017062327.48</v>
      </c>
      <c r="D64" s="45" t="n">
        <f aca="false">D59*E59+D60*E60+D61*E61+D62*E62</f>
        <v>23337182175.2</v>
      </c>
    </row>
    <row r="66" customFormat="false" ht="15" hidden="false" customHeight="true" outlineLevel="0" collapsed="false">
      <c r="A66" s="47" t="s">
        <v>387</v>
      </c>
      <c r="B66" s="70" t="n">
        <v>43</v>
      </c>
      <c r="C66" s="70" t="n">
        <v>43</v>
      </c>
      <c r="D66" s="70" t="n">
        <v>43</v>
      </c>
    </row>
    <row r="67" customFormat="false" ht="15" hidden="false" customHeight="true" outlineLevel="0" collapsed="false">
      <c r="A67" s="59" t="s">
        <v>388</v>
      </c>
      <c r="B67" s="45" t="n">
        <f aca="false">ROUND(B62/B66,0)</f>
        <v>0</v>
      </c>
      <c r="C67" s="45" t="n">
        <f aca="false">ROUND(C62/C66,0)</f>
        <v>30875215</v>
      </c>
      <c r="D67" s="45" t="n">
        <f aca="false">ROUND(D62/D66,0)</f>
        <v>733734989</v>
      </c>
    </row>
    <row r="68" customFormat="false" ht="15" hidden="false" customHeight="true" outlineLevel="0" collapsed="false">
      <c r="A68" s="46" t="s">
        <v>389</v>
      </c>
    </row>
    <row r="70" customFormat="false" ht="15" hidden="false" customHeight="true" outlineLevel="0" collapsed="false">
      <c r="A70" s="59" t="s">
        <v>10</v>
      </c>
      <c r="B70" s="63" t="s">
        <v>11</v>
      </c>
      <c r="C70" s="63" t="s">
        <v>12</v>
      </c>
      <c r="D70" s="63" t="s">
        <v>13</v>
      </c>
    </row>
    <row r="71" customFormat="false" ht="15" hidden="false" customHeight="true" outlineLevel="0" collapsed="false">
      <c r="A71" s="47" t="s">
        <v>349</v>
      </c>
      <c r="B71" s="48" t="n">
        <f aca="false">B64</f>
        <v>63802374.64</v>
      </c>
      <c r="C71" s="48" t="n">
        <f aca="false">C64</f>
        <v>1017062327.48</v>
      </c>
      <c r="D71" s="48" t="n">
        <f aca="false">D64</f>
        <v>23337182175.2</v>
      </c>
    </row>
    <row r="72" customFormat="false" ht="15" hidden="false" customHeight="true" outlineLevel="0" collapsed="false">
      <c r="A72" s="59" t="s">
        <v>390</v>
      </c>
      <c r="B72" s="45" t="n">
        <f aca="false">ROUND(B71*0.1,0)</f>
        <v>6380237</v>
      </c>
      <c r="C72" s="45" t="n">
        <f aca="false">ROUND(C71*0.1,0)</f>
        <v>101706233</v>
      </c>
      <c r="D72" s="45" t="n">
        <f aca="false">ROUND(D71*0.1,0)</f>
        <v>2333718218</v>
      </c>
    </row>
    <row r="73" customFormat="false" ht="15" hidden="false" customHeight="true" outlineLevel="0" collapsed="false">
      <c r="A73" s="47" t="s">
        <v>385</v>
      </c>
      <c r="B73" s="49" t="n">
        <f aca="false">B71+B72</f>
        <v>70182611.64</v>
      </c>
      <c r="C73" s="49" t="n">
        <f aca="false">C71+C72</f>
        <v>1118768560.48</v>
      </c>
      <c r="D73" s="49" t="n">
        <f aca="false">D71+D72</f>
        <v>25670900393.2</v>
      </c>
    </row>
    <row r="74" customFormat="false" ht="15" hidden="false" customHeight="true" outlineLevel="0" collapsed="false">
      <c r="A74" s="47" t="s">
        <v>391</v>
      </c>
      <c r="B74" s="56" t="n">
        <f aca="false">B72/B73</f>
        <v>0.0909090848987962</v>
      </c>
      <c r="C74" s="56" t="n">
        <f aca="false">C72/C73</f>
        <v>0.0909090911138615</v>
      </c>
      <c r="D74" s="56" t="n">
        <f aca="false">D72/D73</f>
        <v>0.0909090909260893</v>
      </c>
    </row>
    <row r="75" customFormat="false" ht="15" hidden="false" customHeight="true" outlineLevel="0" collapsed="false">
      <c r="A75" s="62" t="s">
        <v>392</v>
      </c>
    </row>
    <row r="76" customFormat="false" ht="15" hidden="false" customHeight="true" outlineLevel="0" collapsed="false">
      <c r="A76" s="47" t="s">
        <v>387</v>
      </c>
      <c r="B76" s="70" t="n">
        <v>38</v>
      </c>
      <c r="C76" s="70" t="n">
        <v>38</v>
      </c>
      <c r="D76" s="70" t="n">
        <v>38</v>
      </c>
    </row>
    <row r="77" customFormat="false" ht="15" hidden="false" customHeight="true" outlineLevel="0" collapsed="false">
      <c r="A77" s="59" t="s">
        <v>388</v>
      </c>
      <c r="B77" s="45" t="n">
        <f aca="false">ROUND(B72/B76,0)</f>
        <v>167901</v>
      </c>
      <c r="C77" s="45" t="n">
        <f aca="false">ROUND(C72/C76,0)</f>
        <v>2676480</v>
      </c>
      <c r="D77" s="45" t="n">
        <f aca="false">ROUND(D72/D76,0)</f>
        <v>61413637</v>
      </c>
    </row>
    <row r="78" customFormat="false" ht="15" hidden="false" customHeight="true" outlineLevel="0" collapsed="false">
      <c r="A78" s="62" t="s">
        <v>393</v>
      </c>
    </row>
    <row r="80" customFormat="false" ht="15" hidden="false" customHeight="true" outlineLevel="0" collapsed="false">
      <c r="A80" s="46" t="s">
        <v>394</v>
      </c>
    </row>
    <row r="81" customFormat="false" ht="15" hidden="false" customHeight="true" outlineLevel="0" collapsed="false">
      <c r="A81" s="62" t="s">
        <v>395</v>
      </c>
    </row>
    <row r="82" customFormat="false" ht="15" hidden="false" customHeight="true" outlineLevel="0" collapsed="false">
      <c r="A82" s="62" t="s">
        <v>396</v>
      </c>
    </row>
    <row r="83" customFormat="false" ht="15" hidden="false" customHeight="true" outlineLevel="0" collapsed="false">
      <c r="A83" s="62" t="s">
        <v>397</v>
      </c>
    </row>
    <row r="84" customFormat="false" ht="15" hidden="false" customHeight="true" outlineLevel="0" collapsed="false">
      <c r="A84" s="62" t="s">
        <v>398</v>
      </c>
    </row>
    <row r="85" customFormat="false" ht="15" hidden="false" customHeight="true" outlineLevel="0" collapsed="false">
      <c r="A85" s="62" t="s">
        <v>399</v>
      </c>
    </row>
    <row r="86" customFormat="false" ht="15" hidden="false" customHeight="true" outlineLevel="0" collapsed="false">
      <c r="A86" s="62" t="s">
        <v>400</v>
      </c>
    </row>
    <row r="87" customFormat="false" ht="15" hidden="false" customHeight="true" outlineLevel="0" collapsed="false">
      <c r="A87" s="62" t="s">
        <v>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B1FBD38020C4D54987E4A0113C02364A" ma:contentTypeVersion="13" ma:contentTypeDescription="Yeni belge oluşturun." ma:contentTypeScope="" ma:versionID="5e59ebce84092db270c7bb3b7bc1c30e">
  <xsd:schema xmlns:xsd="http://www.w3.org/2001/XMLSchema" xmlns:xs="http://www.w3.org/2001/XMLSchema" xmlns:p="http://schemas.microsoft.com/office/2006/metadata/properties" xmlns:ns2="440456e3-d705-4d3a-96db-197d298ed411" xmlns:ns3="3600ea45-c3f0-4f93-8cb7-c12fe39669b1" targetNamespace="http://schemas.microsoft.com/office/2006/metadata/properties" ma:root="true" ma:fieldsID="9e10631fae9303c6fa52d2d34fb5a074" ns2:_="" ns3:_="">
    <xsd:import namespace="440456e3-d705-4d3a-96db-197d298ed411"/>
    <xsd:import namespace="3600ea45-c3f0-4f93-8cb7-c12fe39669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_Flow_SignoffStatu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456e3-d705-4d3a-96db-197d298ed4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2" nillable="true" ma:displayName="Onay durumu" ma:internalName="_x0024_Resources_x003a_core_x002c_Signoff_Status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Resim Etiketleri" ma:readOnly="false" ma:fieldId="{5cf76f15-5ced-4ddc-b409-7134ff3c332f}" ma:taxonomyMulti="true" ma:sspId="36bd854f-1948-4f99-978a-38efe6c92f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00ea45-c3f0-4f93-8cb7-c12fe39669b1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39429c4-ac62-4af5-8e8c-5c343eeec0cc}" ma:internalName="TaxCatchAll" ma:showField="CatchAllData" ma:web="3600ea45-c3f0-4f93-8cb7-c12fe39669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440456e3-d705-4d3a-96db-197d298ed411" xsi:nil="true"/>
    <TaxCatchAll xmlns="3600ea45-c3f0-4f93-8cb7-c12fe39669b1" xsi:nil="true"/>
    <lcf76f155ced4ddcb4097134ff3c332f xmlns="440456e3-d705-4d3a-96db-197d298ed4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E385DC-8084-4022-94CE-A9058376C444}"/>
</file>

<file path=customXml/itemProps2.xml><?xml version="1.0" encoding="utf-8"?>
<ds:datastoreItem xmlns:ds="http://schemas.openxmlformats.org/officeDocument/2006/customXml" ds:itemID="{29184BE6-7381-491F-B1F6-3BF22BFBF7F2}"/>
</file>

<file path=customXml/itemProps3.xml><?xml version="1.0" encoding="utf-8"?>
<ds:datastoreItem xmlns:ds="http://schemas.openxmlformats.org/officeDocument/2006/customXml" ds:itemID="{4DBBBCE0-4200-4493-B4A6-B8D94782B09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Onur Ozdamar</cp:lastModifiedBy>
  <cp:revision>0</cp:revision>
  <dcterms:created xsi:type="dcterms:W3CDTF">2026-04-05T16:53:55Z</dcterms:created>
  <dcterms:modified xsi:type="dcterms:W3CDTF">2026-04-06T14:57:22Z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0x010100B1FBD38020C4D54987E4A0113C02364A</vt:lpwstr>
  </property>
</Properties>
</file>